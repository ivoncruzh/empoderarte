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umnos" sheetId="2" state="visible" r:id="rId2"/>
    <sheet xmlns:r="http://schemas.openxmlformats.org/officeDocument/2006/relationships" name="Tutores" sheetId="3" state="visible" r:id="rId3"/>
    <sheet xmlns:r="http://schemas.openxmlformats.org/officeDocument/2006/relationships" name="Disciplinas" sheetId="4" state="visible" r:id="rId4"/>
    <sheet xmlns:r="http://schemas.openxmlformats.org/officeDocument/2006/relationships" name="Sedes" sheetId="5" state="visible" r:id="rId5"/>
    <sheet xmlns:r="http://schemas.openxmlformats.org/officeDocument/2006/relationships" name="Maestros" sheetId="6" state="visible" r:id="rId6"/>
    <sheet xmlns:r="http://schemas.openxmlformats.org/officeDocument/2006/relationships" name="Grupos" sheetId="7" state="visible" r:id="rId7"/>
    <sheet xmlns:r="http://schemas.openxmlformats.org/officeDocument/2006/relationships" name="Inscripciones" sheetId="8" state="visible" r:id="rId8"/>
    <sheet xmlns:r="http://schemas.openxmlformats.org/officeDocument/2006/relationships" name="Planes de pago" sheetId="9" state="visible" r:id="rId9"/>
    <sheet xmlns:r="http://schemas.openxmlformats.org/officeDocument/2006/relationships" name="Mensualidades" sheetId="10" state="visible" r:id="rId10"/>
    <sheet xmlns:r="http://schemas.openxmlformats.org/officeDocument/2006/relationships" name="Pagos" sheetId="11" state="visible" r:id="rId11"/>
    <sheet xmlns:r="http://schemas.openxmlformats.org/officeDocument/2006/relationships" name="Recibos" sheetId="12" state="visible" r:id="rId12"/>
    <sheet xmlns:r="http://schemas.openxmlformats.org/officeDocument/2006/relationships" name="Promociones" sheetId="13" state="visible" r:id="rId13"/>
    <sheet xmlns:r="http://schemas.openxmlformats.org/officeDocument/2006/relationships" name="Beneficios" sheetId="14" state="visible" r:id="rId14"/>
    <sheet xmlns:r="http://schemas.openxmlformats.org/officeDocument/2006/relationships" name="Asistencia" sheetId="15" state="visible" r:id="rId15"/>
    <sheet xmlns:r="http://schemas.openxmlformats.org/officeDocument/2006/relationships" name="Credenciales" sheetId="16" state="visible" r:id="rId16"/>
    <sheet xmlns:r="http://schemas.openxmlformats.org/officeDocument/2006/relationships" name="Notificaciones" sheetId="17" state="visible" r:id="rId17"/>
    <sheet xmlns:r="http://schemas.openxmlformats.org/officeDocument/2006/relationships" name="Usuarios" sheetId="18" state="visible" r:id="rId18"/>
    <sheet xmlns:r="http://schemas.openxmlformats.org/officeDocument/2006/relationships" name="Auditoría" sheetId="19" state="visible" r:id="rId19"/>
    <sheet xmlns:r="http://schemas.openxmlformats.org/officeDocument/2006/relationships" name="Listas" sheetId="20" state="visible" r:id="rId20"/>
  </sheets>
  <definedNames>
    <definedName name="_xlnm._FilterDatabase" localSheetId="1" hidden="1">'Alumnos'!$A$3:$N$103</definedName>
    <definedName name="_xlnm._FilterDatabase" localSheetId="2" hidden="1">'Tutores'!$A$3:$H$103</definedName>
    <definedName name="_xlnm._FilterDatabase" localSheetId="3" hidden="1">'Disciplinas'!$A$3:$E$103</definedName>
    <definedName name="_xlnm._FilterDatabase" localSheetId="4" hidden="1">'Sedes'!$A$3:$F$53</definedName>
    <definedName name="_xlnm._FilterDatabase" localSheetId="5" hidden="1">'Maestros'!$A$3:$H$103</definedName>
    <definedName name="_xlnm._FilterDatabase" localSheetId="6" hidden="1">'Grupos'!$A$3:$J$103</definedName>
    <definedName name="_xlnm._FilterDatabase" localSheetId="7" hidden="1">'Inscripciones'!$A$3:$I$203</definedName>
    <definedName name="_xlnm._FilterDatabase" localSheetId="8" hidden="1">'Planes de pago'!$A$3:$F$53</definedName>
    <definedName name="_xlnm._FilterDatabase" localSheetId="9" hidden="1">'Mensualidades'!$A$3:$L$203</definedName>
    <definedName name="_xlnm._FilterDatabase" localSheetId="10" hidden="1">'Pagos'!$A$3:$K$203</definedName>
    <definedName name="_xlnm._FilterDatabase" localSheetId="11" hidden="1">'Recibos'!$A$3:$H$203</definedName>
    <definedName name="_xlnm._FilterDatabase" localSheetId="12" hidden="1">'Promociones'!$A$3:$K$103</definedName>
    <definedName name="_xlnm._FilterDatabase" localSheetId="13" hidden="1">'Beneficios'!$A$3:$J$203</definedName>
    <definedName name="_xlnm._FilterDatabase" localSheetId="14" hidden="1">'Asistencia'!$A$3:$I$503</definedName>
    <definedName name="_xlnm._FilterDatabase" localSheetId="15" hidden="1">'Credenciales'!$A$3:$H$203</definedName>
    <definedName name="_xlnm._FilterDatabase" localSheetId="16" hidden="1">'Notificaciones'!$A$3:$J$203</definedName>
    <definedName name="_xlnm._FilterDatabase" localSheetId="17" hidden="1">'Usuarios'!$A$3:$G$53</definedName>
    <definedName name="_xlnm._FilterDatabase" localSheetId="18" hidden="1">'Auditoría'!$A$3:$H$203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$#,##0.00"/>
    <numFmt numFmtId="167" formatCode="dd/mm/yyyy hh:mm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B7280"/>
    </font>
    <font>
      <b val="1"/>
      <color rgb="001F2937"/>
      <sz val="14"/>
    </font>
    <font>
      <b val="1"/>
      <color rgb="00FFFFFF"/>
    </font>
    <font>
      <b val="1"/>
      <color rgb="001F2937"/>
      <sz val="18"/>
    </font>
  </fonts>
  <fills count="5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EAF4F4"/>
      </patternFill>
    </fill>
    <fill>
      <patternFill patternType="solid">
        <fgColor rgb="002A9D8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166" fontId="5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4" borderId="1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blAlumnos" displayName="tblAlumnos" ref="A3:N103" headerRowCount="1">
  <autoFilter ref="A3:N103"/>
  <tableColumns count="14">
    <tableColumn id="1" name="Matrícula"/>
    <tableColumn id="2" name="Nombre"/>
    <tableColumn id="3" name="Apellido paterno"/>
    <tableColumn id="4" name="Apellido materno"/>
    <tableColumn id="5" name="Fecha nacimiento"/>
    <tableColumn id="6" name="Teléfono"/>
    <tableColumn id="7" name="WhatsApp"/>
    <tableColumn id="8" name="Correo"/>
    <tableColumn id="9" name="Fecha ingreso"/>
    <tableColumn id="10" name="Estatus"/>
    <tableColumn id="11" name="Disciplina principal"/>
    <tableColumn id="12" name="Grupo"/>
    <tableColumn id="13" name="Maestro"/>
    <tableColumn id="14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utores" displayName="tblTutores" ref="A3:H103" headerRowCount="1">
  <autoFilter ref="A3:H103"/>
  <tableColumns count="8">
    <tableColumn id="1" name="ID Tutor"/>
    <tableColumn id="2" name="Nombre"/>
    <tableColumn id="3" name="Apellidos"/>
    <tableColumn id="4" name="Parentesco"/>
    <tableColumn id="5" name="Teléfono"/>
    <tableColumn id="6" name="WhatsApp"/>
    <tableColumn id="7" name="Correo"/>
    <tableColumn id="8" name="Matrícula del alum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isciplinas" displayName="tblDisciplinas" ref="A3:E103" headerRowCount="1">
  <autoFilter ref="A3:E103"/>
  <tableColumns count="5">
    <tableColumn id="1" name="ID"/>
    <tableColumn id="2" name="Disciplina"/>
    <tableColumn id="3" name="Descripción"/>
    <tableColumn id="4" name="Cuota mensual sugerida"/>
    <tableColumn id="5" name="E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edes" displayName="tblSedes" ref="A3:F53" headerRowCount="1">
  <autoFilter ref="A3:F53"/>
  <tableColumns count="6">
    <tableColumn id="1" name="ID Sede"/>
    <tableColumn id="2" name="Sede"/>
    <tableColumn id="3" name="Dirección"/>
    <tableColumn id="4" name="Teléfono"/>
    <tableColumn id="5" name="Responsable"/>
    <tableColumn id="6" name="E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Maestros" displayName="tblMaestros" ref="A3:H103" headerRowCount="1">
  <autoFilter ref="A3:H103"/>
  <tableColumns count="8">
    <tableColumn id="1" name="ID Maestro"/>
    <tableColumn id="2" name="Nombre"/>
    <tableColumn id="3" name="Apellidos"/>
    <tableColumn id="4" name="Teléfono"/>
    <tableColumn id="5" name="Correo"/>
    <tableColumn id="6" name="Disciplina"/>
    <tableColumn id="7" name="Sede"/>
    <tableColumn id="8" name="E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Grupos" displayName="tblGrupos" ref="A3:J103" headerRowCount="1">
  <autoFilter ref="A3:J103"/>
  <tableColumns count="10">
    <tableColumn id="1" name="ID Grupo"/>
    <tableColumn id="2" name="Grupo"/>
    <tableColumn id="3" name="Disciplina"/>
    <tableColumn id="4" name="Maestro"/>
    <tableColumn id="5" name="Sede"/>
    <tableColumn id="6" name="Día"/>
    <tableColumn id="7" name="Hora inicio"/>
    <tableColumn id="8" name="Hora fin"/>
    <tableColumn id="9" name="Cupo"/>
    <tableColumn id="10" name="E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Inscripciones" displayName="tblInscripciones" ref="A3:I203" headerRowCount="1">
  <autoFilter ref="A3:I203"/>
  <tableColumns count="9">
    <tableColumn id="1" name="ID Inscripción"/>
    <tableColumn id="2" name="Matrícula"/>
    <tableColumn id="3" name="Fecha inscripción"/>
    <tableColumn id="4" name="Disciplina"/>
    <tableColumn id="5" name="Grupo"/>
    <tableColumn id="6" name="Plan de pago"/>
    <tableColumn id="7" name="Cuota mensual"/>
    <tableColumn id="8" name="Descuento"/>
    <tableColumn id="9" name="E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lanes" displayName="tblPlanes" ref="A3:F53" headerRowCount="1">
  <autoFilter ref="A3:F53"/>
  <tableColumns count="6">
    <tableColumn id="1" name="ID Plan"/>
    <tableColumn id="2" name="Nombre del plan"/>
    <tableColumn id="3" name="Periodicidad"/>
    <tableColumn id="4" name="Monto"/>
    <tableColumn id="5" name="Día de vencimiento"/>
    <tableColumn id="6" name="E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Mensualidades" displayName="tblMensualidades" ref="A3:L203" headerRowCount="1">
  <autoFilter ref="A3:L203"/>
  <tableColumns count="12">
    <tableColumn id="1" name="ID Mensualidad"/>
    <tableColumn id="2" name="Matrícula"/>
    <tableColumn id="3" name="Periodo"/>
    <tableColumn id="4" name="Fecha vencimiento"/>
    <tableColumn id="5" name="Cuota"/>
    <tableColumn id="6" name="Descuento"/>
    <tableColumn id="7" name="Saldo"/>
    <tableColumn id="8" name="Estatus"/>
    <tableColumn id="9" name="Fecha pago"/>
    <tableColumn id="10" name="Método pago"/>
    <tableColumn id="11" name="Referencia"/>
    <tableColumn id="12" name="Observacion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Pagos" displayName="tblPagos" ref="A3:K203" headerRowCount="1">
  <autoFilter ref="A3:K203"/>
  <tableColumns count="11">
    <tableColumn id="1" name="ID Pago"/>
    <tableColumn id="2" name="Fecha"/>
    <tableColumn id="3" name="Matrícula"/>
    <tableColumn id="4" name="Concepto"/>
    <tableColumn id="5" name="Periodo"/>
    <tableColumn id="6" name="Monto"/>
    <tableColumn id="7" name="Método"/>
    <tableColumn id="8" name="Referencia"/>
    <tableColumn id="9" name="Recibo"/>
    <tableColumn id="10" name="Recibió"/>
    <tableColumn id="11" name="Observacion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Recibos" displayName="tblRecibos" ref="A3:H203" headerRowCount="1">
  <autoFilter ref="A3:H203"/>
  <tableColumns count="8">
    <tableColumn id="1" name="No. Recibo"/>
    <tableColumn id="2" name="Fecha"/>
    <tableColumn id="3" name="Matrícula"/>
    <tableColumn id="4" name="Alumno"/>
    <tableColumn id="5" name="Concepto"/>
    <tableColumn id="6" name="Monto"/>
    <tableColumn id="7" name="Método"/>
    <tableColumn id="8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romociones" displayName="tblPromociones" ref="A3:K103" headerRowCount="1">
  <autoFilter ref="A3:K103"/>
  <tableColumns count="11">
    <tableColumn id="1" name="ID Promo"/>
    <tableColumn id="2" name="Nombre"/>
    <tableColumn id="3" name="Tipo descuento"/>
    <tableColumn id="4" name="Valor"/>
    <tableColumn id="5" name="Fecha inicio"/>
    <tableColumn id="6" name="Fecha fin"/>
    <tableColumn id="7" name="Usos máximos"/>
    <tableColumn id="8" name="Usos actuales"/>
    <tableColumn id="9" name="Elegibles"/>
    <tableColumn id="10" name="Combinable"/>
    <tableColumn id="11" name="E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Beneficios" displayName="tblBeneficios" ref="A3:J203" headerRowCount="1">
  <autoFilter ref="A3:J203"/>
  <tableColumns count="10">
    <tableColumn id="1" name="ID Beneficio"/>
    <tableColumn id="2" name="Matrícula"/>
    <tableColumn id="3" name="Beneficio"/>
    <tableColumn id="4" name="Nivel"/>
    <tableColumn id="5" name="Fecha otorgado"/>
    <tableColumn id="6" name="Fecha vencimiento"/>
    <tableColumn id="7" name="Estatus"/>
    <tableColumn id="8" name="Fecha utilizado"/>
    <tableColumn id="9" name="Motivo"/>
    <tableColumn id="10" name="Observacion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Asistencia" displayName="tblAsistencia" ref="A3:I503" headerRowCount="1">
  <autoFilter ref="A3:I503"/>
  <tableColumns count="9">
    <tableColumn id="1" name="ID"/>
    <tableColumn id="2" name="Fecha"/>
    <tableColumn id="3" name="Matrícula"/>
    <tableColumn id="4" name="Alumno"/>
    <tableColumn id="5" name="Disciplina"/>
    <tableColumn id="6" name="Grupo"/>
    <tableColumn id="7" name="Hora entrada"/>
    <tableColumn id="8" name="Hora salida"/>
    <tableColumn id="9" name="E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Credenciales" displayName="tblCredenciales" ref="A3:H203" headerRowCount="1">
  <autoFilter ref="A3:H203"/>
  <tableColumns count="8">
    <tableColumn id="1" name="Matrícula"/>
    <tableColumn id="2" name="Alumno"/>
    <tableColumn id="3" name="Disciplina"/>
    <tableColumn id="4" name="Estatus"/>
    <tableColumn id="5" name="Fecha emisión"/>
    <tableColumn id="6" name="Vigencia"/>
    <tableColumn id="7" name="Token/QR"/>
    <tableColumn id="8" name="Observacion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Notificaciones" displayName="tblNotificaciones" ref="A3:J203" headerRowCount="1">
  <autoFilter ref="A3:J203"/>
  <tableColumns count="10">
    <tableColumn id="1" name="ID"/>
    <tableColumn id="2" name="Fecha"/>
    <tableColumn id="3" name="Matrícula"/>
    <tableColumn id="4" name="Tipo"/>
    <tableColumn id="5" name="Mensaje"/>
    <tableColumn id="6" name="Canal"/>
    <tableColumn id="7" name="Estatus"/>
    <tableColumn id="8" name="Fecha envío"/>
    <tableColumn id="9" name="Responsable"/>
    <tableColumn id="10" name="Observacion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Usuarios" displayName="tblUsuarios" ref="A3:G53" headerRowCount="1">
  <autoFilter ref="A3:G53"/>
  <tableColumns count="7">
    <tableColumn id="1" name="ID Usuario"/>
    <tableColumn id="2" name="Nombre"/>
    <tableColumn id="3" name="Correo"/>
    <tableColumn id="4" name="Rol"/>
    <tableColumn id="5" name="Estatus"/>
    <tableColumn id="6" name="Último acceso"/>
    <tableColumn id="7" name="Observacion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Auditoria" displayName="tblAuditoria" ref="A3:H203" headerRowCount="1">
  <autoFilter ref="A3:H203"/>
  <tableColumns count="8">
    <tableColumn id="1" name="ID"/>
    <tableColumn id="2" name="Fecha/hora"/>
    <tableColumn id="3" name="Usuario"/>
    <tableColumn id="4" name="Acción"/>
    <tableColumn id="5" name="Módulo"/>
    <tableColumn id="6" name="ID registro"/>
    <tableColumn id="7" name="Valor anterior"/>
    <tableColumn id="8" name="Valor nue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1" t="inlineStr">
        <is>
          <t>EMPODERARTE · Control de Alumnos y Mensualidades</t>
        </is>
      </c>
    </row>
    <row r="2"/>
    <row r="3">
      <c r="A3" s="2" t="inlineStr">
        <is>
          <t>Plantilla Excel — captura la información en las hojas de datos. El dashboard se actualiza con fórmulas.</t>
        </is>
      </c>
    </row>
    <row r="4"/>
    <row r="5">
      <c r="A5" s="3" t="inlineStr">
        <is>
          <t>Indicadores</t>
        </is>
      </c>
    </row>
    <row r="6"/>
    <row r="7">
      <c r="A7" s="4" t="inlineStr">
        <is>
          <t>Alumnos activos</t>
        </is>
      </c>
      <c r="C7" s="4" t="inlineStr">
        <is>
          <t>Alumnos registrados</t>
        </is>
      </c>
      <c r="E7" s="4" t="inlineStr">
        <is>
          <t>Mensualidades pagadas</t>
        </is>
      </c>
      <c r="G7" s="4" t="inlineStr">
        <is>
          <t>Saldo pendiente</t>
        </is>
      </c>
    </row>
    <row r="8">
      <c r="A8" s="5">
        <f>COUNTIF(Alumnos!$J:$J,"Activo")</f>
        <v/>
      </c>
      <c r="C8" s="5">
        <f>COUNTA(Alumnos!$A:$A)-1</f>
        <v/>
      </c>
      <c r="E8" s="5">
        <f>COUNTIF(Mensualidades!$H:$H,"Pagado")</f>
        <v/>
      </c>
      <c r="G8" s="6">
        <f>SUM(Mensualidades!$G:$G)</f>
        <v/>
      </c>
    </row>
    <row r="9"/>
    <row r="10"/>
    <row r="11">
      <c r="A11" s="3" t="inlineStr">
        <is>
          <t>Cómo usarla</t>
        </is>
      </c>
    </row>
    <row r="12">
      <c r="A12" s="7" t="inlineStr">
        <is>
          <t>1. Registra primero al alumno en la hoja Alumnos.</t>
        </is>
      </c>
    </row>
    <row r="13">
      <c r="A13" s="7" t="inlineStr">
        <is>
          <t>2. Asigna disciplina/grupo y datos de contacto.</t>
        </is>
      </c>
    </row>
    <row r="14">
      <c r="A14" s="7" t="inlineStr">
        <is>
          <t>3. En Mensualidades, crea una fila por cada mensualidad.</t>
        </is>
      </c>
    </row>
    <row r="15">
      <c r="A15" s="7" t="inlineStr">
        <is>
          <t>4. Cuando recibas un pago, captura la fecha, monto y método en Pagos.</t>
        </is>
      </c>
    </row>
    <row r="16">
      <c r="A16" s="7" t="inlineStr">
        <is>
          <t>5. Usa Promociones y Beneficios para llevar el control comercial.</t>
        </is>
      </c>
    </row>
    <row r="17">
      <c r="A17" s="7" t="inlineStr">
        <is>
          <t>6. Credenciales permite llevar el registro de la credencial/QR.</t>
        </is>
      </c>
    </row>
    <row r="18">
      <c r="A18" s="7" t="inlineStr">
        <is>
          <t>7. Asistencia sirve para registrar entradas a clase.</t>
        </is>
      </c>
    </row>
  </sheetData>
  <mergeCells count="17">
    <mergeCell ref="A12:H12"/>
    <mergeCell ref="A18:H18"/>
    <mergeCell ref="A3:H3"/>
    <mergeCell ref="C7:D7"/>
    <mergeCell ref="A7:B7"/>
    <mergeCell ref="G7:H7"/>
    <mergeCell ref="E7:F7"/>
    <mergeCell ref="A15:H15"/>
    <mergeCell ref="A16:H16"/>
    <mergeCell ref="A13:H13"/>
    <mergeCell ref="A14:H14"/>
    <mergeCell ref="A1:H1"/>
    <mergeCell ref="G8:H8"/>
    <mergeCell ref="A8:B8"/>
    <mergeCell ref="E8:F8"/>
    <mergeCell ref="C8:D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16" customWidth="1" min="5" max="5"/>
    <col width="15" customWidth="1" min="6" max="6"/>
    <col width="15" customWidth="1" min="7" max="7"/>
    <col width="28" customWidth="1" min="8" max="8"/>
    <col width="15" customWidth="1" min="9" max="9"/>
    <col width="15" customWidth="1" min="10" max="10"/>
    <col width="22" customWidth="1" min="11" max="11"/>
    <col width="20" customWidth="1" min="12" max="12"/>
    <col width="20" customWidth="1" min="13" max="13"/>
    <col width="35" customWidth="1" min="14" max="14"/>
  </cols>
  <sheetData>
    <row r="1" ht="32" customHeight="1">
      <c r="A1" s="1" t="inlineStr">
        <is>
          <t>ALUMNOS · Expediente principal</t>
        </is>
      </c>
    </row>
    <row r="2">
      <c r="A2" s="8" t="inlineStr">
        <is>
          <t>Una fila = un alumno. La matrícula debe ser única. No borres alumnos dados de baja; cambia su estatus.</t>
        </is>
      </c>
    </row>
    <row r="3">
      <c r="A3" s="9" t="inlineStr">
        <is>
          <t>Matrícula</t>
        </is>
      </c>
      <c r="B3" s="9" t="inlineStr">
        <is>
          <t>Nombre</t>
        </is>
      </c>
      <c r="C3" s="9" t="inlineStr">
        <is>
          <t>Apellido paterno</t>
        </is>
      </c>
      <c r="D3" s="9" t="inlineStr">
        <is>
          <t>Apellido materno</t>
        </is>
      </c>
      <c r="E3" s="9" t="inlineStr">
        <is>
          <t>Fecha nacimiento</t>
        </is>
      </c>
      <c r="F3" s="9" t="inlineStr">
        <is>
          <t>Teléfono</t>
        </is>
      </c>
      <c r="G3" s="9" t="inlineStr">
        <is>
          <t>WhatsApp</t>
        </is>
      </c>
      <c r="H3" s="9" t="inlineStr">
        <is>
          <t>Correo</t>
        </is>
      </c>
      <c r="I3" s="9" t="inlineStr">
        <is>
          <t>Fecha ingreso</t>
        </is>
      </c>
      <c r="J3" s="9" t="inlineStr">
        <is>
          <t>Estatus</t>
        </is>
      </c>
      <c r="K3" s="9" t="inlineStr">
        <is>
          <t>Disciplina principal</t>
        </is>
      </c>
      <c r="L3" s="9" t="inlineStr">
        <is>
          <t>Grupo</t>
        </is>
      </c>
      <c r="M3" s="9" t="inlineStr">
        <is>
          <t>Maestro</t>
        </is>
      </c>
      <c r="N3" s="9" t="inlineStr">
        <is>
          <t>Observaciones</t>
        </is>
      </c>
    </row>
    <row r="4">
      <c r="A4" s="10" t="inlineStr">
        <is>
          <t>EMP-2026-00001</t>
        </is>
      </c>
      <c r="B4" s="7" t="inlineStr">
        <is>
          <t>Ejemplo</t>
        </is>
      </c>
      <c r="C4" s="7" t="inlineStr">
        <is>
          <t>Alumno</t>
        </is>
      </c>
      <c r="D4" s="7" t="inlineStr">
        <is>
          <t>Demo</t>
        </is>
      </c>
      <c r="E4" s="11" t="n">
        <v>40193</v>
      </c>
      <c r="F4" s="7" t="inlineStr"/>
      <c r="G4" s="7" t="inlineStr"/>
      <c r="H4" s="7" t="inlineStr"/>
      <c r="I4" s="12" t="n">
        <v>46266</v>
      </c>
      <c r="J4" s="7" t="inlineStr">
        <is>
          <t>Activo</t>
        </is>
      </c>
      <c r="K4" s="7" t="inlineStr">
        <is>
          <t>Danza</t>
        </is>
      </c>
      <c r="L4" s="7" t="inlineStr">
        <is>
          <t>Danza Infantil</t>
        </is>
      </c>
      <c r="M4" s="7" t="inlineStr">
        <is>
          <t>Maestra Demo</t>
        </is>
      </c>
      <c r="N4" s="7" t="inlineStr">
        <is>
          <t>Eliminar esta fila de ejemplo</t>
        </is>
      </c>
    </row>
    <row r="5">
      <c r="I5" s="13" t="n"/>
    </row>
    <row r="6">
      <c r="I6" s="13" t="n"/>
    </row>
    <row r="7">
      <c r="I7" s="13" t="n"/>
    </row>
    <row r="8">
      <c r="I8" s="13" t="n"/>
    </row>
    <row r="9">
      <c r="I9" s="13" t="n"/>
    </row>
    <row r="10">
      <c r="I10" s="13" t="n"/>
    </row>
    <row r="11">
      <c r="I11" s="13" t="n"/>
    </row>
    <row r="12">
      <c r="I12" s="13" t="n"/>
    </row>
    <row r="13">
      <c r="I13" s="13" t="n"/>
    </row>
    <row r="14">
      <c r="I14" s="13" t="n"/>
    </row>
    <row r="15">
      <c r="I15" s="13" t="n"/>
    </row>
    <row r="16">
      <c r="I16" s="13" t="n"/>
    </row>
    <row r="17">
      <c r="I17" s="13" t="n"/>
    </row>
    <row r="18">
      <c r="I18" s="13" t="n"/>
    </row>
    <row r="19">
      <c r="I19" s="13" t="n"/>
    </row>
    <row r="20">
      <c r="I20" s="13" t="n"/>
    </row>
    <row r="21">
      <c r="I21" s="13" t="n"/>
    </row>
    <row r="22">
      <c r="I22" s="13" t="n"/>
    </row>
    <row r="23">
      <c r="I23" s="13" t="n"/>
    </row>
    <row r="24">
      <c r="I24" s="13" t="n"/>
    </row>
    <row r="25">
      <c r="I25" s="13" t="n"/>
    </row>
    <row r="26">
      <c r="I26" s="13" t="n"/>
    </row>
    <row r="27">
      <c r="I27" s="13" t="n"/>
    </row>
    <row r="28">
      <c r="I28" s="13" t="n"/>
    </row>
    <row r="29">
      <c r="I29" s="13" t="n"/>
    </row>
    <row r="30">
      <c r="I30" s="13" t="n"/>
    </row>
    <row r="31">
      <c r="I31" s="13" t="n"/>
    </row>
    <row r="32">
      <c r="I32" s="13" t="n"/>
    </row>
    <row r="33">
      <c r="I33" s="13" t="n"/>
    </row>
    <row r="34">
      <c r="I34" s="13" t="n"/>
    </row>
    <row r="35">
      <c r="I35" s="13" t="n"/>
    </row>
    <row r="36">
      <c r="I36" s="13" t="n"/>
    </row>
    <row r="37">
      <c r="I37" s="13" t="n"/>
    </row>
    <row r="38">
      <c r="I38" s="13" t="n"/>
    </row>
    <row r="39">
      <c r="I39" s="13" t="n"/>
    </row>
    <row r="40">
      <c r="I40" s="13" t="n"/>
    </row>
    <row r="41">
      <c r="I41" s="13" t="n"/>
    </row>
    <row r="42">
      <c r="I42" s="13" t="n"/>
    </row>
    <row r="43">
      <c r="I43" s="13" t="n"/>
    </row>
    <row r="44">
      <c r="I44" s="13" t="n"/>
    </row>
    <row r="45">
      <c r="I45" s="13" t="n"/>
    </row>
    <row r="46">
      <c r="I46" s="13" t="n"/>
    </row>
    <row r="47">
      <c r="I47" s="13" t="n"/>
    </row>
    <row r="48">
      <c r="I48" s="13" t="n"/>
    </row>
    <row r="49">
      <c r="I49" s="13" t="n"/>
    </row>
    <row r="50">
      <c r="I50" s="13" t="n"/>
    </row>
    <row r="51">
      <c r="I51" s="13" t="n"/>
    </row>
    <row r="52">
      <c r="I52" s="13" t="n"/>
    </row>
    <row r="53">
      <c r="I53" s="13" t="n"/>
    </row>
    <row r="54">
      <c r="I54" s="13" t="n"/>
    </row>
    <row r="55">
      <c r="I55" s="13" t="n"/>
    </row>
    <row r="56">
      <c r="I56" s="13" t="n"/>
    </row>
    <row r="57">
      <c r="I57" s="13" t="n"/>
    </row>
    <row r="58">
      <c r="I58" s="13" t="n"/>
    </row>
    <row r="59">
      <c r="I59" s="13" t="n"/>
    </row>
    <row r="60">
      <c r="I60" s="13" t="n"/>
    </row>
    <row r="61">
      <c r="I61" s="13" t="n"/>
    </row>
    <row r="62">
      <c r="I62" s="13" t="n"/>
    </row>
    <row r="63">
      <c r="I63" s="13" t="n"/>
    </row>
    <row r="64">
      <c r="I64" s="13" t="n"/>
    </row>
    <row r="65">
      <c r="I65" s="13" t="n"/>
    </row>
    <row r="66">
      <c r="I66" s="13" t="n"/>
    </row>
    <row r="67">
      <c r="I67" s="13" t="n"/>
    </row>
    <row r="68">
      <c r="I68" s="13" t="n"/>
    </row>
    <row r="69">
      <c r="I69" s="13" t="n"/>
    </row>
    <row r="70">
      <c r="I70" s="13" t="n"/>
    </row>
    <row r="71">
      <c r="I71" s="13" t="n"/>
    </row>
    <row r="72">
      <c r="I72" s="13" t="n"/>
    </row>
    <row r="73">
      <c r="I73" s="13" t="n"/>
    </row>
    <row r="74">
      <c r="I74" s="13" t="n"/>
    </row>
    <row r="75">
      <c r="I75" s="13" t="n"/>
    </row>
    <row r="76">
      <c r="I76" s="13" t="n"/>
    </row>
    <row r="77">
      <c r="I77" s="13" t="n"/>
    </row>
    <row r="78">
      <c r="I78" s="13" t="n"/>
    </row>
    <row r="79">
      <c r="I79" s="13" t="n"/>
    </row>
    <row r="80">
      <c r="I80" s="13" t="n"/>
    </row>
    <row r="81">
      <c r="I81" s="13" t="n"/>
    </row>
    <row r="82">
      <c r="I82" s="13" t="n"/>
    </row>
    <row r="83">
      <c r="I83" s="13" t="n"/>
    </row>
    <row r="84">
      <c r="I84" s="13" t="n"/>
    </row>
    <row r="85">
      <c r="I85" s="13" t="n"/>
    </row>
    <row r="86">
      <c r="I86" s="13" t="n"/>
    </row>
    <row r="87">
      <c r="I87" s="13" t="n"/>
    </row>
    <row r="88">
      <c r="I88" s="13" t="n"/>
    </row>
    <row r="89">
      <c r="I89" s="13" t="n"/>
    </row>
    <row r="90">
      <c r="I90" s="13" t="n"/>
    </row>
    <row r="91">
      <c r="I91" s="13" t="n"/>
    </row>
    <row r="92">
      <c r="I92" s="13" t="n"/>
    </row>
    <row r="93">
      <c r="I93" s="13" t="n"/>
    </row>
    <row r="94">
      <c r="I94" s="13" t="n"/>
    </row>
    <row r="95">
      <c r="I95" s="13" t="n"/>
    </row>
    <row r="96">
      <c r="I96" s="13" t="n"/>
    </row>
    <row r="97">
      <c r="I97" s="13" t="n"/>
    </row>
    <row r="98">
      <c r="I98" s="13" t="n"/>
    </row>
    <row r="99">
      <c r="I99" s="13" t="n"/>
    </row>
    <row r="100">
      <c r="I100" s="13" t="n"/>
    </row>
    <row r="101">
      <c r="I101" s="13" t="n"/>
    </row>
    <row r="102">
      <c r="I102" s="13" t="n"/>
    </row>
    <row r="103">
      <c r="I103" s="13" t="n"/>
    </row>
  </sheetData>
  <autoFilter ref="A3:N103"/>
  <mergeCells count="2">
    <mergeCell ref="A2:N2"/>
    <mergeCell ref="A1:N1"/>
  </mergeCells>
  <dataValidations count="1">
    <dataValidation sqref="J4:J103" showDropDown="0" showInputMessage="0" showErrorMessage="0" allowBlank="1" type="list">
      <formula1>"Activo,Suspendido,Inactivo,Baja,Preinscrito"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15" customWidth="1" min="5" max="5"/>
    <col width="15" customWidth="1" min="6" max="6"/>
    <col width="28" customWidth="1" min="7" max="7"/>
    <col width="22" customWidth="1" min="8" max="8"/>
  </cols>
  <sheetData>
    <row r="1" ht="32" customHeight="1">
      <c r="A1" s="1" t="inlineStr">
        <is>
          <t>TUTORES / CONTACTOS</t>
        </is>
      </c>
    </row>
    <row r="2"/>
    <row r="3">
      <c r="A3" s="9" t="inlineStr">
        <is>
          <t>ID Tutor</t>
        </is>
      </c>
      <c r="B3" s="9" t="inlineStr">
        <is>
          <t>Nombre</t>
        </is>
      </c>
      <c r="C3" s="9" t="inlineStr">
        <is>
          <t>Apellidos</t>
        </is>
      </c>
      <c r="D3" s="9" t="inlineStr">
        <is>
          <t>Parentesco</t>
        </is>
      </c>
      <c r="E3" s="9" t="inlineStr">
        <is>
          <t>Teléfono</t>
        </is>
      </c>
      <c r="F3" s="9" t="inlineStr">
        <is>
          <t>WhatsApp</t>
        </is>
      </c>
      <c r="G3" s="9" t="inlineStr">
        <is>
          <t>Correo</t>
        </is>
      </c>
      <c r="H3" s="9" t="inlineStr">
        <is>
          <t>Matrícula del alumno</t>
        </is>
      </c>
    </row>
  </sheetData>
  <autoFilter ref="A3:H103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22" customWidth="1" min="4" max="4"/>
    <col width="15" customWidth="1" min="5" max="5"/>
  </cols>
  <sheetData>
    <row r="1" ht="32" customHeight="1">
      <c r="A1" s="1" t="inlineStr">
        <is>
          <t>DISCIPLINAS</t>
        </is>
      </c>
    </row>
    <row r="2"/>
    <row r="3">
      <c r="A3" s="9" t="inlineStr">
        <is>
          <t>ID</t>
        </is>
      </c>
      <c r="B3" s="9" t="inlineStr">
        <is>
          <t>Disciplina</t>
        </is>
      </c>
      <c r="C3" s="9" t="inlineStr">
        <is>
          <t>Descripción</t>
        </is>
      </c>
      <c r="D3" s="9" t="inlineStr">
        <is>
          <t>Cuota mensual sugerida</t>
        </is>
      </c>
      <c r="E3" s="9" t="inlineStr">
        <is>
          <t>Estatus</t>
        </is>
      </c>
    </row>
    <row r="4">
      <c r="A4" s="7" t="n">
        <v>1</v>
      </c>
      <c r="B4" s="7" t="inlineStr">
        <is>
          <t>Danza</t>
        </is>
      </c>
      <c r="D4" s="7" t="n">
        <v>0</v>
      </c>
      <c r="E4" s="7" t="inlineStr">
        <is>
          <t>Activa</t>
        </is>
      </c>
    </row>
    <row r="5">
      <c r="A5" s="7" t="n">
        <v>2</v>
      </c>
      <c r="B5" s="7" t="inlineStr">
        <is>
          <t>Ballet</t>
        </is>
      </c>
      <c r="D5" s="7" t="n">
        <v>0</v>
      </c>
      <c r="E5" s="7" t="inlineStr">
        <is>
          <t>Activa</t>
        </is>
      </c>
    </row>
    <row r="6">
      <c r="A6" s="7" t="n">
        <v>3</v>
      </c>
      <c r="B6" s="7" t="inlineStr">
        <is>
          <t>Jazz</t>
        </is>
      </c>
      <c r="D6" s="7" t="n">
        <v>0</v>
      </c>
      <c r="E6" s="7" t="inlineStr">
        <is>
          <t>Activa</t>
        </is>
      </c>
    </row>
    <row r="7">
      <c r="A7" s="7" t="n">
        <v>4</v>
      </c>
      <c r="B7" s="7" t="inlineStr">
        <is>
          <t>Hiphop</t>
        </is>
      </c>
      <c r="D7" s="7" t="n">
        <v>0</v>
      </c>
      <c r="E7" s="7" t="inlineStr">
        <is>
          <t>Activa</t>
        </is>
      </c>
    </row>
    <row r="8">
      <c r="A8" s="7" t="n">
        <v>5</v>
      </c>
      <c r="B8" s="7" t="inlineStr">
        <is>
          <t>Teatro</t>
        </is>
      </c>
      <c r="D8" s="7" t="n">
        <v>0</v>
      </c>
      <c r="E8" s="7" t="inlineStr">
        <is>
          <t>Activa</t>
        </is>
      </c>
    </row>
    <row r="9">
      <c r="A9" s="7" t="n">
        <v>6</v>
      </c>
      <c r="B9" s="7" t="inlineStr">
        <is>
          <t>Canto</t>
        </is>
      </c>
      <c r="D9" s="7" t="n">
        <v>0</v>
      </c>
      <c r="E9" s="7" t="inlineStr">
        <is>
          <t>Activa</t>
        </is>
      </c>
    </row>
    <row r="10">
      <c r="A10" s="7" t="n">
        <v>7</v>
      </c>
      <c r="B10" s="7" t="inlineStr">
        <is>
          <t>Gimnasia</t>
        </is>
      </c>
      <c r="D10" s="7" t="n">
        <v>0</v>
      </c>
      <c r="E10" s="7" t="inlineStr">
        <is>
          <t>Activa</t>
        </is>
      </c>
    </row>
  </sheetData>
  <autoFilter ref="A3:E103"/>
  <mergeCells count="1">
    <mergeCell ref="A1:E1"/>
  </mergeCells>
  <dataValidations count="1">
    <dataValidation sqref="E4:E103" showDropDown="0" showInputMessage="0" showErrorMessage="0" allowBlank="1" type="list">
      <formula1>"Activa,Inactiva"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18" customWidth="1" min="4" max="4"/>
    <col width="25" customWidth="1" min="5" max="5"/>
    <col width="15" customWidth="1" min="6" max="6"/>
  </cols>
  <sheetData>
    <row r="1" ht="32" customHeight="1">
      <c r="A1" s="1" t="inlineStr">
        <is>
          <t>SEDES</t>
        </is>
      </c>
    </row>
    <row r="2"/>
    <row r="3">
      <c r="A3" s="9" t="inlineStr">
        <is>
          <t>ID Sede</t>
        </is>
      </c>
      <c r="B3" s="9" t="inlineStr">
        <is>
          <t>Sede</t>
        </is>
      </c>
      <c r="C3" s="9" t="inlineStr">
        <is>
          <t>Dirección</t>
        </is>
      </c>
      <c r="D3" s="9" t="inlineStr">
        <is>
          <t>Teléfono</t>
        </is>
      </c>
      <c r="E3" s="9" t="inlineStr">
        <is>
          <t>Responsable</t>
        </is>
      </c>
      <c r="F3" s="9" t="inlineStr">
        <is>
          <t>Estatus</t>
        </is>
      </c>
    </row>
  </sheetData>
  <autoFilter ref="A3:F53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5" customWidth="1" min="4" max="4"/>
    <col width="28" customWidth="1" min="5" max="5"/>
    <col width="22" customWidth="1" min="6" max="6"/>
    <col width="22" customWidth="1" min="7" max="7"/>
    <col width="15" customWidth="1" min="8" max="8"/>
  </cols>
  <sheetData>
    <row r="1" ht="32" customHeight="1">
      <c r="A1" s="1" t="inlineStr">
        <is>
          <t>MAESTROS</t>
        </is>
      </c>
    </row>
    <row r="2"/>
    <row r="3">
      <c r="A3" s="9" t="inlineStr">
        <is>
          <t>ID Maestro</t>
        </is>
      </c>
      <c r="B3" s="9" t="inlineStr">
        <is>
          <t>Nombre</t>
        </is>
      </c>
      <c r="C3" s="9" t="inlineStr">
        <is>
          <t>Apellidos</t>
        </is>
      </c>
      <c r="D3" s="9" t="inlineStr">
        <is>
          <t>Teléfono</t>
        </is>
      </c>
      <c r="E3" s="9" t="inlineStr">
        <is>
          <t>Correo</t>
        </is>
      </c>
      <c r="F3" s="9" t="inlineStr">
        <is>
          <t>Disciplina</t>
        </is>
      </c>
      <c r="G3" s="9" t="inlineStr">
        <is>
          <t>Sede</t>
        </is>
      </c>
      <c r="H3" s="9" t="inlineStr">
        <is>
          <t>Estatus</t>
        </is>
      </c>
    </row>
  </sheetData>
  <autoFilter ref="A3:H103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5" customWidth="1" min="4" max="4"/>
    <col width="22" customWidth="1" min="5" max="5"/>
    <col width="15" customWidth="1" min="6" max="6"/>
    <col width="14" customWidth="1" min="7" max="7"/>
    <col width="14" customWidth="1" min="8" max="8"/>
    <col width="10" customWidth="1" min="9" max="9"/>
    <col width="15" customWidth="1" min="10" max="10"/>
  </cols>
  <sheetData>
    <row r="1" ht="32" customHeight="1">
      <c r="A1" s="1" t="inlineStr">
        <is>
          <t>GRUPOS Y HORARIOS</t>
        </is>
      </c>
    </row>
    <row r="2"/>
    <row r="3">
      <c r="A3" s="9" t="inlineStr">
        <is>
          <t>ID Grupo</t>
        </is>
      </c>
      <c r="B3" s="9" t="inlineStr">
        <is>
          <t>Grupo</t>
        </is>
      </c>
      <c r="C3" s="9" t="inlineStr">
        <is>
          <t>Disciplina</t>
        </is>
      </c>
      <c r="D3" s="9" t="inlineStr">
        <is>
          <t>Maestro</t>
        </is>
      </c>
      <c r="E3" s="9" t="inlineStr">
        <is>
          <t>Sede</t>
        </is>
      </c>
      <c r="F3" s="9" t="inlineStr">
        <is>
          <t>Día</t>
        </is>
      </c>
      <c r="G3" s="9" t="inlineStr">
        <is>
          <t>Hora inicio</t>
        </is>
      </c>
      <c r="H3" s="9" t="inlineStr">
        <is>
          <t>Hora fin</t>
        </is>
      </c>
      <c r="I3" s="9" t="inlineStr">
        <is>
          <t>Cupo</t>
        </is>
      </c>
      <c r="J3" s="9" t="inlineStr">
        <is>
          <t>Estatus</t>
        </is>
      </c>
    </row>
  </sheetData>
  <autoFilter ref="A3:J103"/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2" customWidth="1" min="4" max="4"/>
    <col width="22" customWidth="1" min="5" max="5"/>
    <col width="22" customWidth="1" min="6" max="6"/>
    <col width="18" customWidth="1" min="7" max="7"/>
    <col width="15" customWidth="1" min="8" max="8"/>
    <col width="15" customWidth="1" min="9" max="9"/>
  </cols>
  <sheetData>
    <row r="1" ht="32" customHeight="1">
      <c r="A1" s="1" t="inlineStr">
        <is>
          <t>INSCRIPCIONES</t>
        </is>
      </c>
    </row>
    <row r="2"/>
    <row r="3">
      <c r="A3" s="9" t="inlineStr">
        <is>
          <t>ID Inscripción</t>
        </is>
      </c>
      <c r="B3" s="9" t="inlineStr">
        <is>
          <t>Matrícula</t>
        </is>
      </c>
      <c r="C3" s="9" t="inlineStr">
        <is>
          <t>Fecha inscripción</t>
        </is>
      </c>
      <c r="D3" s="9" t="inlineStr">
        <is>
          <t>Disciplina</t>
        </is>
      </c>
      <c r="E3" s="9" t="inlineStr">
        <is>
          <t>Grupo</t>
        </is>
      </c>
      <c r="F3" s="9" t="inlineStr">
        <is>
          <t>Plan de pago</t>
        </is>
      </c>
      <c r="G3" s="9" t="inlineStr">
        <is>
          <t>Cuota mensual</t>
        </is>
      </c>
      <c r="H3" s="9" t="inlineStr">
        <is>
          <t>Descuento</t>
        </is>
      </c>
      <c r="I3" s="9" t="inlineStr">
        <is>
          <t>Estatus</t>
        </is>
      </c>
    </row>
    <row r="4">
      <c r="C4" s="13" t="n"/>
      <c r="G4" s="14" t="n"/>
      <c r="H4" s="15" t="n"/>
    </row>
    <row r="5">
      <c r="C5" s="13" t="n"/>
      <c r="G5" s="14" t="n"/>
      <c r="H5" s="15" t="n"/>
    </row>
    <row r="6">
      <c r="C6" s="13" t="n"/>
      <c r="G6" s="14" t="n"/>
      <c r="H6" s="15" t="n"/>
    </row>
    <row r="7">
      <c r="C7" s="13" t="n"/>
      <c r="G7" s="14" t="n"/>
      <c r="H7" s="15" t="n"/>
    </row>
    <row r="8">
      <c r="C8" s="13" t="n"/>
      <c r="G8" s="14" t="n"/>
      <c r="H8" s="15" t="n"/>
    </row>
    <row r="9">
      <c r="C9" s="13" t="n"/>
      <c r="G9" s="14" t="n"/>
      <c r="H9" s="15" t="n"/>
    </row>
    <row r="10">
      <c r="C10" s="13" t="n"/>
      <c r="G10" s="14" t="n"/>
      <c r="H10" s="15" t="n"/>
    </row>
    <row r="11">
      <c r="C11" s="13" t="n"/>
      <c r="G11" s="14" t="n"/>
      <c r="H11" s="15" t="n"/>
    </row>
    <row r="12">
      <c r="C12" s="13" t="n"/>
      <c r="G12" s="14" t="n"/>
      <c r="H12" s="15" t="n"/>
    </row>
    <row r="13">
      <c r="C13" s="13" t="n"/>
      <c r="G13" s="14" t="n"/>
      <c r="H13" s="15" t="n"/>
    </row>
    <row r="14">
      <c r="C14" s="13" t="n"/>
      <c r="G14" s="14" t="n"/>
      <c r="H14" s="15" t="n"/>
    </row>
    <row r="15">
      <c r="C15" s="13" t="n"/>
      <c r="G15" s="14" t="n"/>
      <c r="H15" s="15" t="n"/>
    </row>
    <row r="16">
      <c r="C16" s="13" t="n"/>
      <c r="G16" s="14" t="n"/>
      <c r="H16" s="15" t="n"/>
    </row>
    <row r="17">
      <c r="C17" s="13" t="n"/>
      <c r="G17" s="14" t="n"/>
      <c r="H17" s="15" t="n"/>
    </row>
    <row r="18">
      <c r="C18" s="13" t="n"/>
      <c r="G18" s="14" t="n"/>
      <c r="H18" s="15" t="n"/>
    </row>
    <row r="19">
      <c r="C19" s="13" t="n"/>
      <c r="G19" s="14" t="n"/>
      <c r="H19" s="15" t="n"/>
    </row>
    <row r="20">
      <c r="C20" s="13" t="n"/>
      <c r="G20" s="14" t="n"/>
      <c r="H20" s="15" t="n"/>
    </row>
    <row r="21">
      <c r="C21" s="13" t="n"/>
      <c r="G21" s="14" t="n"/>
      <c r="H21" s="15" t="n"/>
    </row>
    <row r="22">
      <c r="C22" s="13" t="n"/>
      <c r="G22" s="14" t="n"/>
      <c r="H22" s="15" t="n"/>
    </row>
    <row r="23">
      <c r="C23" s="13" t="n"/>
      <c r="G23" s="14" t="n"/>
      <c r="H23" s="15" t="n"/>
    </row>
    <row r="24">
      <c r="C24" s="13" t="n"/>
      <c r="G24" s="14" t="n"/>
      <c r="H24" s="15" t="n"/>
    </row>
    <row r="25">
      <c r="C25" s="13" t="n"/>
      <c r="G25" s="14" t="n"/>
      <c r="H25" s="15" t="n"/>
    </row>
    <row r="26">
      <c r="C26" s="13" t="n"/>
      <c r="G26" s="14" t="n"/>
      <c r="H26" s="15" t="n"/>
    </row>
    <row r="27">
      <c r="C27" s="13" t="n"/>
      <c r="G27" s="14" t="n"/>
      <c r="H27" s="15" t="n"/>
    </row>
    <row r="28">
      <c r="C28" s="13" t="n"/>
      <c r="G28" s="14" t="n"/>
      <c r="H28" s="15" t="n"/>
    </row>
    <row r="29">
      <c r="C29" s="13" t="n"/>
      <c r="G29" s="14" t="n"/>
      <c r="H29" s="15" t="n"/>
    </row>
    <row r="30">
      <c r="C30" s="13" t="n"/>
      <c r="G30" s="14" t="n"/>
      <c r="H30" s="15" t="n"/>
    </row>
    <row r="31">
      <c r="C31" s="13" t="n"/>
      <c r="G31" s="14" t="n"/>
      <c r="H31" s="15" t="n"/>
    </row>
    <row r="32">
      <c r="C32" s="13" t="n"/>
      <c r="G32" s="14" t="n"/>
      <c r="H32" s="15" t="n"/>
    </row>
    <row r="33">
      <c r="C33" s="13" t="n"/>
      <c r="G33" s="14" t="n"/>
      <c r="H33" s="15" t="n"/>
    </row>
    <row r="34">
      <c r="C34" s="13" t="n"/>
      <c r="G34" s="14" t="n"/>
      <c r="H34" s="15" t="n"/>
    </row>
    <row r="35">
      <c r="C35" s="13" t="n"/>
      <c r="G35" s="14" t="n"/>
      <c r="H35" s="15" t="n"/>
    </row>
    <row r="36">
      <c r="C36" s="13" t="n"/>
      <c r="G36" s="14" t="n"/>
      <c r="H36" s="15" t="n"/>
    </row>
    <row r="37">
      <c r="C37" s="13" t="n"/>
      <c r="G37" s="14" t="n"/>
      <c r="H37" s="15" t="n"/>
    </row>
    <row r="38">
      <c r="C38" s="13" t="n"/>
      <c r="G38" s="14" t="n"/>
      <c r="H38" s="15" t="n"/>
    </row>
    <row r="39">
      <c r="C39" s="13" t="n"/>
      <c r="G39" s="14" t="n"/>
      <c r="H39" s="15" t="n"/>
    </row>
    <row r="40">
      <c r="C40" s="13" t="n"/>
      <c r="G40" s="14" t="n"/>
      <c r="H40" s="15" t="n"/>
    </row>
    <row r="41">
      <c r="C41" s="13" t="n"/>
      <c r="G41" s="14" t="n"/>
      <c r="H41" s="15" t="n"/>
    </row>
    <row r="42">
      <c r="C42" s="13" t="n"/>
      <c r="G42" s="14" t="n"/>
      <c r="H42" s="15" t="n"/>
    </row>
    <row r="43">
      <c r="C43" s="13" t="n"/>
      <c r="G43" s="14" t="n"/>
      <c r="H43" s="15" t="n"/>
    </row>
    <row r="44">
      <c r="C44" s="13" t="n"/>
      <c r="G44" s="14" t="n"/>
      <c r="H44" s="15" t="n"/>
    </row>
    <row r="45">
      <c r="C45" s="13" t="n"/>
      <c r="G45" s="14" t="n"/>
      <c r="H45" s="15" t="n"/>
    </row>
    <row r="46">
      <c r="C46" s="13" t="n"/>
      <c r="G46" s="14" t="n"/>
      <c r="H46" s="15" t="n"/>
    </row>
    <row r="47">
      <c r="C47" s="13" t="n"/>
      <c r="G47" s="14" t="n"/>
      <c r="H47" s="15" t="n"/>
    </row>
    <row r="48">
      <c r="C48" s="13" t="n"/>
      <c r="G48" s="14" t="n"/>
      <c r="H48" s="15" t="n"/>
    </row>
    <row r="49">
      <c r="C49" s="13" t="n"/>
      <c r="G49" s="14" t="n"/>
      <c r="H49" s="15" t="n"/>
    </row>
    <row r="50">
      <c r="C50" s="13" t="n"/>
      <c r="G50" s="14" t="n"/>
      <c r="H50" s="15" t="n"/>
    </row>
    <row r="51">
      <c r="C51" s="13" t="n"/>
      <c r="G51" s="14" t="n"/>
      <c r="H51" s="15" t="n"/>
    </row>
    <row r="52">
      <c r="C52" s="13" t="n"/>
      <c r="G52" s="14" t="n"/>
      <c r="H52" s="15" t="n"/>
    </row>
    <row r="53">
      <c r="C53" s="13" t="n"/>
      <c r="G53" s="14" t="n"/>
      <c r="H53" s="15" t="n"/>
    </row>
    <row r="54">
      <c r="C54" s="13" t="n"/>
      <c r="G54" s="14" t="n"/>
      <c r="H54" s="15" t="n"/>
    </row>
    <row r="55">
      <c r="C55" s="13" t="n"/>
      <c r="G55" s="14" t="n"/>
      <c r="H55" s="15" t="n"/>
    </row>
    <row r="56">
      <c r="C56" s="13" t="n"/>
      <c r="G56" s="14" t="n"/>
      <c r="H56" s="15" t="n"/>
    </row>
    <row r="57">
      <c r="C57" s="13" t="n"/>
      <c r="G57" s="14" t="n"/>
      <c r="H57" s="15" t="n"/>
    </row>
    <row r="58">
      <c r="C58" s="13" t="n"/>
      <c r="G58" s="14" t="n"/>
      <c r="H58" s="15" t="n"/>
    </row>
    <row r="59">
      <c r="C59" s="13" t="n"/>
      <c r="G59" s="14" t="n"/>
      <c r="H59" s="15" t="n"/>
    </row>
    <row r="60">
      <c r="C60" s="13" t="n"/>
      <c r="G60" s="14" t="n"/>
      <c r="H60" s="15" t="n"/>
    </row>
    <row r="61">
      <c r="C61" s="13" t="n"/>
      <c r="G61" s="14" t="n"/>
      <c r="H61" s="15" t="n"/>
    </row>
    <row r="62">
      <c r="C62" s="13" t="n"/>
      <c r="G62" s="14" t="n"/>
      <c r="H62" s="15" t="n"/>
    </row>
    <row r="63">
      <c r="C63" s="13" t="n"/>
      <c r="G63" s="14" t="n"/>
      <c r="H63" s="15" t="n"/>
    </row>
    <row r="64">
      <c r="C64" s="13" t="n"/>
      <c r="G64" s="14" t="n"/>
      <c r="H64" s="15" t="n"/>
    </row>
    <row r="65">
      <c r="C65" s="13" t="n"/>
      <c r="G65" s="14" t="n"/>
      <c r="H65" s="15" t="n"/>
    </row>
    <row r="66">
      <c r="C66" s="13" t="n"/>
      <c r="G66" s="14" t="n"/>
      <c r="H66" s="15" t="n"/>
    </row>
    <row r="67">
      <c r="C67" s="13" t="n"/>
      <c r="G67" s="14" t="n"/>
      <c r="H67" s="15" t="n"/>
    </row>
    <row r="68">
      <c r="C68" s="13" t="n"/>
      <c r="G68" s="14" t="n"/>
      <c r="H68" s="15" t="n"/>
    </row>
    <row r="69">
      <c r="C69" s="13" t="n"/>
      <c r="G69" s="14" t="n"/>
      <c r="H69" s="15" t="n"/>
    </row>
    <row r="70">
      <c r="C70" s="13" t="n"/>
      <c r="G70" s="14" t="n"/>
      <c r="H70" s="15" t="n"/>
    </row>
    <row r="71">
      <c r="C71" s="13" t="n"/>
      <c r="G71" s="14" t="n"/>
      <c r="H71" s="15" t="n"/>
    </row>
    <row r="72">
      <c r="C72" s="13" t="n"/>
      <c r="G72" s="14" t="n"/>
      <c r="H72" s="15" t="n"/>
    </row>
    <row r="73">
      <c r="C73" s="13" t="n"/>
      <c r="G73" s="14" t="n"/>
      <c r="H73" s="15" t="n"/>
    </row>
    <row r="74">
      <c r="C74" s="13" t="n"/>
      <c r="G74" s="14" t="n"/>
      <c r="H74" s="15" t="n"/>
    </row>
    <row r="75">
      <c r="C75" s="13" t="n"/>
      <c r="G75" s="14" t="n"/>
      <c r="H75" s="15" t="n"/>
    </row>
    <row r="76">
      <c r="C76" s="13" t="n"/>
      <c r="G76" s="14" t="n"/>
      <c r="H76" s="15" t="n"/>
    </row>
    <row r="77">
      <c r="C77" s="13" t="n"/>
      <c r="G77" s="14" t="n"/>
      <c r="H77" s="15" t="n"/>
    </row>
    <row r="78">
      <c r="C78" s="13" t="n"/>
      <c r="G78" s="14" t="n"/>
      <c r="H78" s="15" t="n"/>
    </row>
    <row r="79">
      <c r="C79" s="13" t="n"/>
      <c r="G79" s="14" t="n"/>
      <c r="H79" s="15" t="n"/>
    </row>
    <row r="80">
      <c r="C80" s="13" t="n"/>
      <c r="G80" s="14" t="n"/>
      <c r="H80" s="15" t="n"/>
    </row>
    <row r="81">
      <c r="C81" s="13" t="n"/>
      <c r="G81" s="14" t="n"/>
      <c r="H81" s="15" t="n"/>
    </row>
    <row r="82">
      <c r="C82" s="13" t="n"/>
      <c r="G82" s="14" t="n"/>
      <c r="H82" s="15" t="n"/>
    </row>
    <row r="83">
      <c r="C83" s="13" t="n"/>
      <c r="G83" s="14" t="n"/>
      <c r="H83" s="15" t="n"/>
    </row>
    <row r="84">
      <c r="C84" s="13" t="n"/>
      <c r="G84" s="14" t="n"/>
      <c r="H84" s="15" t="n"/>
    </row>
    <row r="85">
      <c r="C85" s="13" t="n"/>
      <c r="G85" s="14" t="n"/>
      <c r="H85" s="15" t="n"/>
    </row>
    <row r="86">
      <c r="C86" s="13" t="n"/>
      <c r="G86" s="14" t="n"/>
      <c r="H86" s="15" t="n"/>
    </row>
    <row r="87">
      <c r="C87" s="13" t="n"/>
      <c r="G87" s="14" t="n"/>
      <c r="H87" s="15" t="n"/>
    </row>
    <row r="88">
      <c r="C88" s="13" t="n"/>
      <c r="G88" s="14" t="n"/>
      <c r="H88" s="15" t="n"/>
    </row>
    <row r="89">
      <c r="C89" s="13" t="n"/>
      <c r="G89" s="14" t="n"/>
      <c r="H89" s="15" t="n"/>
    </row>
    <row r="90">
      <c r="C90" s="13" t="n"/>
      <c r="G90" s="14" t="n"/>
      <c r="H90" s="15" t="n"/>
    </row>
    <row r="91">
      <c r="C91" s="13" t="n"/>
      <c r="G91" s="14" t="n"/>
      <c r="H91" s="15" t="n"/>
    </row>
    <row r="92">
      <c r="C92" s="13" t="n"/>
      <c r="G92" s="14" t="n"/>
      <c r="H92" s="15" t="n"/>
    </row>
    <row r="93">
      <c r="C93" s="13" t="n"/>
      <c r="G93" s="14" t="n"/>
      <c r="H93" s="15" t="n"/>
    </row>
    <row r="94">
      <c r="C94" s="13" t="n"/>
      <c r="G94" s="14" t="n"/>
      <c r="H94" s="15" t="n"/>
    </row>
    <row r="95">
      <c r="C95" s="13" t="n"/>
      <c r="G95" s="14" t="n"/>
      <c r="H95" s="15" t="n"/>
    </row>
    <row r="96">
      <c r="C96" s="13" t="n"/>
      <c r="G96" s="14" t="n"/>
      <c r="H96" s="15" t="n"/>
    </row>
    <row r="97">
      <c r="C97" s="13" t="n"/>
      <c r="G97" s="14" t="n"/>
      <c r="H97" s="15" t="n"/>
    </row>
    <row r="98">
      <c r="C98" s="13" t="n"/>
      <c r="G98" s="14" t="n"/>
      <c r="H98" s="15" t="n"/>
    </row>
    <row r="99">
      <c r="C99" s="13" t="n"/>
      <c r="G99" s="14" t="n"/>
      <c r="H99" s="15" t="n"/>
    </row>
    <row r="100">
      <c r="C100" s="13" t="n"/>
      <c r="G100" s="14" t="n"/>
      <c r="H100" s="15" t="n"/>
    </row>
    <row r="101">
      <c r="C101" s="13" t="n"/>
      <c r="G101" s="14" t="n"/>
      <c r="H101" s="15" t="n"/>
    </row>
    <row r="102">
      <c r="C102" s="13" t="n"/>
      <c r="G102" s="14" t="n"/>
      <c r="H102" s="15" t="n"/>
    </row>
    <row r="103">
      <c r="C103" s="13" t="n"/>
      <c r="G103" s="14" t="n"/>
      <c r="H103" s="15" t="n"/>
    </row>
    <row r="104">
      <c r="C104" s="13" t="n"/>
      <c r="G104" s="14" t="n"/>
      <c r="H104" s="15" t="n"/>
    </row>
    <row r="105">
      <c r="C105" s="13" t="n"/>
      <c r="G105" s="14" t="n"/>
      <c r="H105" s="15" t="n"/>
    </row>
    <row r="106">
      <c r="C106" s="13" t="n"/>
      <c r="G106" s="14" t="n"/>
      <c r="H106" s="15" t="n"/>
    </row>
    <row r="107">
      <c r="C107" s="13" t="n"/>
      <c r="G107" s="14" t="n"/>
      <c r="H107" s="15" t="n"/>
    </row>
    <row r="108">
      <c r="C108" s="13" t="n"/>
      <c r="G108" s="14" t="n"/>
      <c r="H108" s="15" t="n"/>
    </row>
    <row r="109">
      <c r="C109" s="13" t="n"/>
      <c r="G109" s="14" t="n"/>
      <c r="H109" s="15" t="n"/>
    </row>
    <row r="110">
      <c r="C110" s="13" t="n"/>
      <c r="G110" s="14" t="n"/>
      <c r="H110" s="15" t="n"/>
    </row>
    <row r="111">
      <c r="C111" s="13" t="n"/>
      <c r="G111" s="14" t="n"/>
      <c r="H111" s="15" t="n"/>
    </row>
    <row r="112">
      <c r="C112" s="13" t="n"/>
      <c r="G112" s="14" t="n"/>
      <c r="H112" s="15" t="n"/>
    </row>
    <row r="113">
      <c r="C113" s="13" t="n"/>
      <c r="G113" s="14" t="n"/>
      <c r="H113" s="15" t="n"/>
    </row>
    <row r="114">
      <c r="C114" s="13" t="n"/>
      <c r="G114" s="14" t="n"/>
      <c r="H114" s="15" t="n"/>
    </row>
    <row r="115">
      <c r="C115" s="13" t="n"/>
      <c r="G115" s="14" t="n"/>
      <c r="H115" s="15" t="n"/>
    </row>
    <row r="116">
      <c r="C116" s="13" t="n"/>
      <c r="G116" s="14" t="n"/>
      <c r="H116" s="15" t="n"/>
    </row>
    <row r="117">
      <c r="C117" s="13" t="n"/>
      <c r="G117" s="14" t="n"/>
      <c r="H117" s="15" t="n"/>
    </row>
    <row r="118">
      <c r="C118" s="13" t="n"/>
      <c r="G118" s="14" t="n"/>
      <c r="H118" s="15" t="n"/>
    </row>
    <row r="119">
      <c r="C119" s="13" t="n"/>
      <c r="G119" s="14" t="n"/>
      <c r="H119" s="15" t="n"/>
    </row>
    <row r="120">
      <c r="C120" s="13" t="n"/>
      <c r="G120" s="14" t="n"/>
      <c r="H120" s="15" t="n"/>
    </row>
    <row r="121">
      <c r="C121" s="13" t="n"/>
      <c r="G121" s="14" t="n"/>
      <c r="H121" s="15" t="n"/>
    </row>
    <row r="122">
      <c r="C122" s="13" t="n"/>
      <c r="G122" s="14" t="n"/>
      <c r="H122" s="15" t="n"/>
    </row>
    <row r="123">
      <c r="C123" s="13" t="n"/>
      <c r="G123" s="14" t="n"/>
      <c r="H123" s="15" t="n"/>
    </row>
    <row r="124">
      <c r="C124" s="13" t="n"/>
      <c r="G124" s="14" t="n"/>
      <c r="H124" s="15" t="n"/>
    </row>
    <row r="125">
      <c r="C125" s="13" t="n"/>
      <c r="G125" s="14" t="n"/>
      <c r="H125" s="15" t="n"/>
    </row>
    <row r="126">
      <c r="C126" s="13" t="n"/>
      <c r="G126" s="14" t="n"/>
      <c r="H126" s="15" t="n"/>
    </row>
    <row r="127">
      <c r="C127" s="13" t="n"/>
      <c r="G127" s="14" t="n"/>
      <c r="H127" s="15" t="n"/>
    </row>
    <row r="128">
      <c r="C128" s="13" t="n"/>
      <c r="G128" s="14" t="n"/>
      <c r="H128" s="15" t="n"/>
    </row>
    <row r="129">
      <c r="C129" s="13" t="n"/>
      <c r="G129" s="14" t="n"/>
      <c r="H129" s="15" t="n"/>
    </row>
    <row r="130">
      <c r="C130" s="13" t="n"/>
      <c r="G130" s="14" t="n"/>
      <c r="H130" s="15" t="n"/>
    </row>
    <row r="131">
      <c r="C131" s="13" t="n"/>
      <c r="G131" s="14" t="n"/>
      <c r="H131" s="15" t="n"/>
    </row>
    <row r="132">
      <c r="C132" s="13" t="n"/>
      <c r="G132" s="14" t="n"/>
      <c r="H132" s="15" t="n"/>
    </row>
    <row r="133">
      <c r="C133" s="13" t="n"/>
      <c r="G133" s="14" t="n"/>
      <c r="H133" s="15" t="n"/>
    </row>
    <row r="134">
      <c r="C134" s="13" t="n"/>
      <c r="G134" s="14" t="n"/>
      <c r="H134" s="15" t="n"/>
    </row>
    <row r="135">
      <c r="C135" s="13" t="n"/>
      <c r="G135" s="14" t="n"/>
      <c r="H135" s="15" t="n"/>
    </row>
    <row r="136">
      <c r="C136" s="13" t="n"/>
      <c r="G136" s="14" t="n"/>
      <c r="H136" s="15" t="n"/>
    </row>
    <row r="137">
      <c r="C137" s="13" t="n"/>
      <c r="G137" s="14" t="n"/>
      <c r="H137" s="15" t="n"/>
    </row>
    <row r="138">
      <c r="C138" s="13" t="n"/>
      <c r="G138" s="14" t="n"/>
      <c r="H138" s="15" t="n"/>
    </row>
    <row r="139">
      <c r="C139" s="13" t="n"/>
      <c r="G139" s="14" t="n"/>
      <c r="H139" s="15" t="n"/>
    </row>
    <row r="140">
      <c r="C140" s="13" t="n"/>
      <c r="G140" s="14" t="n"/>
      <c r="H140" s="15" t="n"/>
    </row>
    <row r="141">
      <c r="C141" s="13" t="n"/>
      <c r="G141" s="14" t="n"/>
      <c r="H141" s="15" t="n"/>
    </row>
    <row r="142">
      <c r="C142" s="13" t="n"/>
      <c r="G142" s="14" t="n"/>
      <c r="H142" s="15" t="n"/>
    </row>
    <row r="143">
      <c r="C143" s="13" t="n"/>
      <c r="G143" s="14" t="n"/>
      <c r="H143" s="15" t="n"/>
    </row>
    <row r="144">
      <c r="C144" s="13" t="n"/>
      <c r="G144" s="14" t="n"/>
      <c r="H144" s="15" t="n"/>
    </row>
    <row r="145">
      <c r="C145" s="13" t="n"/>
      <c r="G145" s="14" t="n"/>
      <c r="H145" s="15" t="n"/>
    </row>
    <row r="146">
      <c r="C146" s="13" t="n"/>
      <c r="G146" s="14" t="n"/>
      <c r="H146" s="15" t="n"/>
    </row>
    <row r="147">
      <c r="C147" s="13" t="n"/>
      <c r="G147" s="14" t="n"/>
      <c r="H147" s="15" t="n"/>
    </row>
    <row r="148">
      <c r="C148" s="13" t="n"/>
      <c r="G148" s="14" t="n"/>
      <c r="H148" s="15" t="n"/>
    </row>
    <row r="149">
      <c r="C149" s="13" t="n"/>
      <c r="G149" s="14" t="n"/>
      <c r="H149" s="15" t="n"/>
    </row>
    <row r="150">
      <c r="C150" s="13" t="n"/>
      <c r="G150" s="14" t="n"/>
      <c r="H150" s="15" t="n"/>
    </row>
    <row r="151">
      <c r="C151" s="13" t="n"/>
      <c r="G151" s="14" t="n"/>
      <c r="H151" s="15" t="n"/>
    </row>
    <row r="152">
      <c r="C152" s="13" t="n"/>
      <c r="G152" s="14" t="n"/>
      <c r="H152" s="15" t="n"/>
    </row>
    <row r="153">
      <c r="C153" s="13" t="n"/>
      <c r="G153" s="14" t="n"/>
      <c r="H153" s="15" t="n"/>
    </row>
    <row r="154">
      <c r="C154" s="13" t="n"/>
      <c r="G154" s="14" t="n"/>
      <c r="H154" s="15" t="n"/>
    </row>
    <row r="155">
      <c r="C155" s="13" t="n"/>
      <c r="G155" s="14" t="n"/>
      <c r="H155" s="15" t="n"/>
    </row>
    <row r="156">
      <c r="C156" s="13" t="n"/>
      <c r="G156" s="14" t="n"/>
      <c r="H156" s="15" t="n"/>
    </row>
    <row r="157">
      <c r="C157" s="13" t="n"/>
      <c r="G157" s="14" t="n"/>
      <c r="H157" s="15" t="n"/>
    </row>
    <row r="158">
      <c r="C158" s="13" t="n"/>
      <c r="G158" s="14" t="n"/>
      <c r="H158" s="15" t="n"/>
    </row>
    <row r="159">
      <c r="C159" s="13" t="n"/>
      <c r="G159" s="14" t="n"/>
      <c r="H159" s="15" t="n"/>
    </row>
    <row r="160">
      <c r="C160" s="13" t="n"/>
      <c r="G160" s="14" t="n"/>
      <c r="H160" s="15" t="n"/>
    </row>
    <row r="161">
      <c r="C161" s="13" t="n"/>
      <c r="G161" s="14" t="n"/>
      <c r="H161" s="15" t="n"/>
    </row>
    <row r="162">
      <c r="C162" s="13" t="n"/>
      <c r="G162" s="14" t="n"/>
      <c r="H162" s="15" t="n"/>
    </row>
    <row r="163">
      <c r="C163" s="13" t="n"/>
      <c r="G163" s="14" t="n"/>
      <c r="H163" s="15" t="n"/>
    </row>
    <row r="164">
      <c r="C164" s="13" t="n"/>
      <c r="G164" s="14" t="n"/>
      <c r="H164" s="15" t="n"/>
    </row>
    <row r="165">
      <c r="C165" s="13" t="n"/>
      <c r="G165" s="14" t="n"/>
      <c r="H165" s="15" t="n"/>
    </row>
    <row r="166">
      <c r="C166" s="13" t="n"/>
      <c r="G166" s="14" t="n"/>
      <c r="H166" s="15" t="n"/>
    </row>
    <row r="167">
      <c r="C167" s="13" t="n"/>
      <c r="G167" s="14" t="n"/>
      <c r="H167" s="15" t="n"/>
    </row>
    <row r="168">
      <c r="C168" s="13" t="n"/>
      <c r="G168" s="14" t="n"/>
      <c r="H168" s="15" t="n"/>
    </row>
    <row r="169">
      <c r="C169" s="13" t="n"/>
      <c r="G169" s="14" t="n"/>
      <c r="H169" s="15" t="n"/>
    </row>
    <row r="170">
      <c r="C170" s="13" t="n"/>
      <c r="G170" s="14" t="n"/>
      <c r="H170" s="15" t="n"/>
    </row>
    <row r="171">
      <c r="C171" s="13" t="n"/>
      <c r="G171" s="14" t="n"/>
      <c r="H171" s="15" t="n"/>
    </row>
    <row r="172">
      <c r="C172" s="13" t="n"/>
      <c r="G172" s="14" t="n"/>
      <c r="H172" s="15" t="n"/>
    </row>
    <row r="173">
      <c r="C173" s="13" t="n"/>
      <c r="G173" s="14" t="n"/>
      <c r="H173" s="15" t="n"/>
    </row>
    <row r="174">
      <c r="C174" s="13" t="n"/>
      <c r="G174" s="14" t="n"/>
      <c r="H174" s="15" t="n"/>
    </row>
    <row r="175">
      <c r="C175" s="13" t="n"/>
      <c r="G175" s="14" t="n"/>
      <c r="H175" s="15" t="n"/>
    </row>
    <row r="176">
      <c r="C176" s="13" t="n"/>
      <c r="G176" s="14" t="n"/>
      <c r="H176" s="15" t="n"/>
    </row>
    <row r="177">
      <c r="C177" s="13" t="n"/>
      <c r="G177" s="14" t="n"/>
      <c r="H177" s="15" t="n"/>
    </row>
    <row r="178">
      <c r="C178" s="13" t="n"/>
      <c r="G178" s="14" t="n"/>
      <c r="H178" s="15" t="n"/>
    </row>
    <row r="179">
      <c r="C179" s="13" t="n"/>
      <c r="G179" s="14" t="n"/>
      <c r="H179" s="15" t="n"/>
    </row>
    <row r="180">
      <c r="C180" s="13" t="n"/>
      <c r="G180" s="14" t="n"/>
      <c r="H180" s="15" t="n"/>
    </row>
    <row r="181">
      <c r="C181" s="13" t="n"/>
      <c r="G181" s="14" t="n"/>
      <c r="H181" s="15" t="n"/>
    </row>
    <row r="182">
      <c r="C182" s="13" t="n"/>
      <c r="G182" s="14" t="n"/>
      <c r="H182" s="15" t="n"/>
    </row>
    <row r="183">
      <c r="C183" s="13" t="n"/>
      <c r="G183" s="14" t="n"/>
      <c r="H183" s="15" t="n"/>
    </row>
    <row r="184">
      <c r="C184" s="13" t="n"/>
      <c r="G184" s="14" t="n"/>
      <c r="H184" s="15" t="n"/>
    </row>
    <row r="185">
      <c r="C185" s="13" t="n"/>
      <c r="G185" s="14" t="n"/>
      <c r="H185" s="15" t="n"/>
    </row>
    <row r="186">
      <c r="C186" s="13" t="n"/>
      <c r="G186" s="14" t="n"/>
      <c r="H186" s="15" t="n"/>
    </row>
    <row r="187">
      <c r="C187" s="13" t="n"/>
      <c r="G187" s="14" t="n"/>
      <c r="H187" s="15" t="n"/>
    </row>
    <row r="188">
      <c r="C188" s="13" t="n"/>
      <c r="G188" s="14" t="n"/>
      <c r="H188" s="15" t="n"/>
    </row>
    <row r="189">
      <c r="C189" s="13" t="n"/>
      <c r="G189" s="14" t="n"/>
      <c r="H189" s="15" t="n"/>
    </row>
    <row r="190">
      <c r="C190" s="13" t="n"/>
      <c r="G190" s="14" t="n"/>
      <c r="H190" s="15" t="n"/>
    </row>
    <row r="191">
      <c r="C191" s="13" t="n"/>
      <c r="G191" s="14" t="n"/>
      <c r="H191" s="15" t="n"/>
    </row>
    <row r="192">
      <c r="C192" s="13" t="n"/>
      <c r="G192" s="14" t="n"/>
      <c r="H192" s="15" t="n"/>
    </row>
    <row r="193">
      <c r="C193" s="13" t="n"/>
      <c r="G193" s="14" t="n"/>
      <c r="H193" s="15" t="n"/>
    </row>
    <row r="194">
      <c r="C194" s="13" t="n"/>
      <c r="G194" s="14" t="n"/>
      <c r="H194" s="15" t="n"/>
    </row>
    <row r="195">
      <c r="C195" s="13" t="n"/>
      <c r="G195" s="14" t="n"/>
      <c r="H195" s="15" t="n"/>
    </row>
    <row r="196">
      <c r="C196" s="13" t="n"/>
      <c r="G196" s="14" t="n"/>
      <c r="H196" s="15" t="n"/>
    </row>
    <row r="197">
      <c r="C197" s="13" t="n"/>
      <c r="G197" s="14" t="n"/>
      <c r="H197" s="15" t="n"/>
    </row>
    <row r="198">
      <c r="C198" s="13" t="n"/>
      <c r="G198" s="14" t="n"/>
      <c r="H198" s="15" t="n"/>
    </row>
    <row r="199">
      <c r="C199" s="13" t="n"/>
      <c r="G199" s="14" t="n"/>
      <c r="H199" s="15" t="n"/>
    </row>
    <row r="200">
      <c r="C200" s="13" t="n"/>
      <c r="G200" s="14" t="n"/>
      <c r="H200" s="15" t="n"/>
    </row>
    <row r="201">
      <c r="C201" s="13" t="n"/>
      <c r="G201" s="14" t="n"/>
      <c r="H201" s="15" t="n"/>
    </row>
    <row r="202">
      <c r="C202" s="13" t="n"/>
      <c r="G202" s="14" t="n"/>
      <c r="H202" s="15" t="n"/>
    </row>
    <row r="203">
      <c r="C203" s="13" t="n"/>
      <c r="G203" s="14" t="n"/>
      <c r="H203" s="15" t="n"/>
    </row>
  </sheetData>
  <autoFilter ref="A3:I203"/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6" customWidth="1" min="4" max="4"/>
    <col width="22" customWidth="1" min="5" max="5"/>
    <col width="15" customWidth="1" min="6" max="6"/>
  </cols>
  <sheetData>
    <row r="1" ht="32" customHeight="1">
      <c r="A1" s="1" t="inlineStr">
        <is>
          <t>PLANES DE PAGO</t>
        </is>
      </c>
    </row>
    <row r="2"/>
    <row r="3">
      <c r="A3" s="9" t="inlineStr">
        <is>
          <t>ID Plan</t>
        </is>
      </c>
      <c r="B3" s="9" t="inlineStr">
        <is>
          <t>Nombre del plan</t>
        </is>
      </c>
      <c r="C3" s="9" t="inlineStr">
        <is>
          <t>Periodicidad</t>
        </is>
      </c>
      <c r="D3" s="9" t="inlineStr">
        <is>
          <t>Monto</t>
        </is>
      </c>
      <c r="E3" s="9" t="inlineStr">
        <is>
          <t>Día de vencimiento</t>
        </is>
      </c>
      <c r="F3" s="9" t="inlineStr">
        <is>
          <t>Estatus</t>
        </is>
      </c>
    </row>
    <row r="4">
      <c r="A4" s="7" t="n">
        <v>1</v>
      </c>
      <c r="B4" s="7" t="inlineStr">
        <is>
          <t>Mensual estándar</t>
        </is>
      </c>
      <c r="C4" s="7" t="inlineStr">
        <is>
          <t>Mensual</t>
        </is>
      </c>
      <c r="D4" s="7" t="n">
        <v>0</v>
      </c>
      <c r="E4" s="7" t="n">
        <v>10</v>
      </c>
      <c r="F4" s="7" t="inlineStr">
        <is>
          <t>Activo</t>
        </is>
      </c>
    </row>
    <row r="5">
      <c r="A5" s="7" t="n">
        <v>2</v>
      </c>
      <c r="B5" s="7" t="inlineStr">
        <is>
          <t>Mensual día 15</t>
        </is>
      </c>
      <c r="C5" s="7" t="inlineStr">
        <is>
          <t>Mensual</t>
        </is>
      </c>
      <c r="D5" s="7" t="n">
        <v>0</v>
      </c>
      <c r="E5" s="7" t="n">
        <v>15</v>
      </c>
      <c r="F5" s="7" t="inlineStr">
        <is>
          <t>Activo</t>
        </is>
      </c>
    </row>
    <row r="6">
      <c r="A6" s="7" t="n">
        <v>3</v>
      </c>
      <c r="B6" s="7" t="inlineStr">
        <is>
          <t>Mensual día 28</t>
        </is>
      </c>
      <c r="C6" s="7" t="inlineStr">
        <is>
          <t>Mensual</t>
        </is>
      </c>
      <c r="D6" s="7" t="n">
        <v>0</v>
      </c>
      <c r="E6" s="7" t="n">
        <v>28</v>
      </c>
      <c r="F6" s="7" t="inlineStr">
        <is>
          <t>Activo</t>
        </is>
      </c>
    </row>
  </sheetData>
  <autoFilter ref="A3:F53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22" customWidth="1" min="11" max="11"/>
    <col width="35" customWidth="1" min="12" max="12"/>
  </cols>
  <sheetData>
    <row r="1" ht="32" customHeight="1">
      <c r="A1" s="1" t="inlineStr">
        <is>
          <t>MENSUALIDADES · Control automático de vencimiento</t>
        </is>
      </c>
    </row>
    <row r="2">
      <c r="A2" s="8" t="inlineStr">
        <is>
          <t>Captura cuota y descuento. El estatus se calcula automáticamente según fecha de vencimiento y fecha de pago.</t>
        </is>
      </c>
    </row>
    <row r="3">
      <c r="A3" s="9" t="inlineStr">
        <is>
          <t>ID Mensualidad</t>
        </is>
      </c>
      <c r="B3" s="9" t="inlineStr">
        <is>
          <t>Matrícula</t>
        </is>
      </c>
      <c r="C3" s="9" t="inlineStr">
        <is>
          <t>Periodo</t>
        </is>
      </c>
      <c r="D3" s="9" t="inlineStr">
        <is>
          <t>Fecha vencimiento</t>
        </is>
      </c>
      <c r="E3" s="9" t="inlineStr">
        <is>
          <t>Cuota</t>
        </is>
      </c>
      <c r="F3" s="9" t="inlineStr">
        <is>
          <t>Descuento</t>
        </is>
      </c>
      <c r="G3" s="9" t="inlineStr">
        <is>
          <t>Saldo</t>
        </is>
      </c>
      <c r="H3" s="9" t="inlineStr">
        <is>
          <t>Estatus</t>
        </is>
      </c>
      <c r="I3" s="9" t="inlineStr">
        <is>
          <t>Fecha pago</t>
        </is>
      </c>
      <c r="J3" s="9" t="inlineStr">
        <is>
          <t>Método pago</t>
        </is>
      </c>
      <c r="K3" s="9" t="inlineStr">
        <is>
          <t>Referencia</t>
        </is>
      </c>
      <c r="L3" s="9" t="inlineStr">
        <is>
          <t>Observaciones</t>
        </is>
      </c>
    </row>
    <row r="4">
      <c r="D4" s="13" t="n"/>
      <c r="E4" s="14" t="n"/>
      <c r="F4" s="14" t="n"/>
      <c r="G4" s="7">
        <f>IF(E4="","",MAX(0,E4-F4-IF(I4="",0,E4-F4)))</f>
        <v/>
      </c>
      <c r="H4" s="7">
        <f>IF(A4="","",IF(I4&lt;&gt;"","Pagado",IF(D4&lt;TODAY(),"Vencido",IF(D4-TODAY()&lt;=7,"Próximo","Pendiente"))))</f>
        <v/>
      </c>
      <c r="I4" s="13" t="n"/>
    </row>
    <row r="5">
      <c r="D5" s="13" t="n"/>
      <c r="E5" s="14" t="n"/>
      <c r="F5" s="14" t="n"/>
      <c r="G5" s="7">
        <f>IF(E5="","",MAX(0,E5-F5-IF(I5="",0,E5-F5)))</f>
        <v/>
      </c>
      <c r="H5" s="7">
        <f>IF(A5="","",IF(I5&lt;&gt;"","Pagado",IF(D5&lt;TODAY(),"Vencido",IF(D5-TODAY()&lt;=7,"Próximo","Pendiente"))))</f>
        <v/>
      </c>
      <c r="I5" s="13" t="n"/>
    </row>
    <row r="6">
      <c r="D6" s="13" t="n"/>
      <c r="E6" s="14" t="n"/>
      <c r="F6" s="14" t="n"/>
      <c r="G6" s="7">
        <f>IF(E6="","",MAX(0,E6-F6-IF(I6="",0,E6-F6)))</f>
        <v/>
      </c>
      <c r="H6" s="7">
        <f>IF(A6="","",IF(I6&lt;&gt;"","Pagado",IF(D6&lt;TODAY(),"Vencido",IF(D6-TODAY()&lt;=7,"Próximo","Pendiente"))))</f>
        <v/>
      </c>
      <c r="I6" s="13" t="n"/>
    </row>
    <row r="7">
      <c r="D7" s="13" t="n"/>
      <c r="E7" s="14" t="n"/>
      <c r="F7" s="14" t="n"/>
      <c r="G7" s="7">
        <f>IF(E7="","",MAX(0,E7-F7-IF(I7="",0,E7-F7)))</f>
        <v/>
      </c>
      <c r="H7" s="7">
        <f>IF(A7="","",IF(I7&lt;&gt;"","Pagado",IF(D7&lt;TODAY(),"Vencido",IF(D7-TODAY()&lt;=7,"Próximo","Pendiente"))))</f>
        <v/>
      </c>
      <c r="I7" s="13" t="n"/>
    </row>
    <row r="8">
      <c r="D8" s="13" t="n"/>
      <c r="E8" s="14" t="n"/>
      <c r="F8" s="14" t="n"/>
      <c r="G8" s="7">
        <f>IF(E8="","",MAX(0,E8-F8-IF(I8="",0,E8-F8)))</f>
        <v/>
      </c>
      <c r="H8" s="7">
        <f>IF(A8="","",IF(I8&lt;&gt;"","Pagado",IF(D8&lt;TODAY(),"Vencido",IF(D8-TODAY()&lt;=7,"Próximo","Pendiente"))))</f>
        <v/>
      </c>
      <c r="I8" s="13" t="n"/>
    </row>
    <row r="9">
      <c r="D9" s="13" t="n"/>
      <c r="E9" s="14" t="n"/>
      <c r="F9" s="14" t="n"/>
      <c r="G9" s="7">
        <f>IF(E9="","",MAX(0,E9-F9-IF(I9="",0,E9-F9)))</f>
        <v/>
      </c>
      <c r="H9" s="7">
        <f>IF(A9="","",IF(I9&lt;&gt;"","Pagado",IF(D9&lt;TODAY(),"Vencido",IF(D9-TODAY()&lt;=7,"Próximo","Pendiente"))))</f>
        <v/>
      </c>
      <c r="I9" s="13" t="n"/>
    </row>
    <row r="10">
      <c r="D10" s="13" t="n"/>
      <c r="E10" s="14" t="n"/>
      <c r="F10" s="14" t="n"/>
      <c r="G10" s="7">
        <f>IF(E10="","",MAX(0,E10-F10-IF(I10="",0,E10-F10)))</f>
        <v/>
      </c>
      <c r="H10" s="7">
        <f>IF(A10="","",IF(I10&lt;&gt;"","Pagado",IF(D10&lt;TODAY(),"Vencido",IF(D10-TODAY()&lt;=7,"Próximo","Pendiente"))))</f>
        <v/>
      </c>
      <c r="I10" s="13" t="n"/>
    </row>
    <row r="11">
      <c r="D11" s="13" t="n"/>
      <c r="E11" s="14" t="n"/>
      <c r="F11" s="14" t="n"/>
      <c r="G11" s="7">
        <f>IF(E11="","",MAX(0,E11-F11-IF(I11="",0,E11-F11)))</f>
        <v/>
      </c>
      <c r="H11" s="7">
        <f>IF(A11="","",IF(I11&lt;&gt;"","Pagado",IF(D11&lt;TODAY(),"Vencido",IF(D11-TODAY()&lt;=7,"Próximo","Pendiente"))))</f>
        <v/>
      </c>
      <c r="I11" s="13" t="n"/>
    </row>
    <row r="12">
      <c r="D12" s="13" t="n"/>
      <c r="E12" s="14" t="n"/>
      <c r="F12" s="14" t="n"/>
      <c r="G12" s="7">
        <f>IF(E12="","",MAX(0,E12-F12-IF(I12="",0,E12-F12)))</f>
        <v/>
      </c>
      <c r="H12" s="7">
        <f>IF(A12="","",IF(I12&lt;&gt;"","Pagado",IF(D12&lt;TODAY(),"Vencido",IF(D12-TODAY()&lt;=7,"Próximo","Pendiente"))))</f>
        <v/>
      </c>
      <c r="I12" s="13" t="n"/>
    </row>
    <row r="13">
      <c r="D13" s="13" t="n"/>
      <c r="E13" s="14" t="n"/>
      <c r="F13" s="14" t="n"/>
      <c r="G13" s="7">
        <f>IF(E13="","",MAX(0,E13-F13-IF(I13="",0,E13-F13)))</f>
        <v/>
      </c>
      <c r="H13" s="7">
        <f>IF(A13="","",IF(I13&lt;&gt;"","Pagado",IF(D13&lt;TODAY(),"Vencido",IF(D13-TODAY()&lt;=7,"Próximo","Pendiente"))))</f>
        <v/>
      </c>
      <c r="I13" s="13" t="n"/>
    </row>
    <row r="14">
      <c r="D14" s="13" t="n"/>
      <c r="E14" s="14" t="n"/>
      <c r="F14" s="14" t="n"/>
      <c r="G14" s="7">
        <f>IF(E14="","",MAX(0,E14-F14-IF(I14="",0,E14-F14)))</f>
        <v/>
      </c>
      <c r="H14" s="7">
        <f>IF(A14="","",IF(I14&lt;&gt;"","Pagado",IF(D14&lt;TODAY(),"Vencido",IF(D14-TODAY()&lt;=7,"Próximo","Pendiente"))))</f>
        <v/>
      </c>
      <c r="I14" s="13" t="n"/>
    </row>
    <row r="15">
      <c r="D15" s="13" t="n"/>
      <c r="E15" s="14" t="n"/>
      <c r="F15" s="14" t="n"/>
      <c r="G15" s="7">
        <f>IF(E15="","",MAX(0,E15-F15-IF(I15="",0,E15-F15)))</f>
        <v/>
      </c>
      <c r="H15" s="7">
        <f>IF(A15="","",IF(I15&lt;&gt;"","Pagado",IF(D15&lt;TODAY(),"Vencido",IF(D15-TODAY()&lt;=7,"Próximo","Pendiente"))))</f>
        <v/>
      </c>
      <c r="I15" s="13" t="n"/>
    </row>
    <row r="16">
      <c r="D16" s="13" t="n"/>
      <c r="E16" s="14" t="n"/>
      <c r="F16" s="14" t="n"/>
      <c r="G16" s="7">
        <f>IF(E16="","",MAX(0,E16-F16-IF(I16="",0,E16-F16)))</f>
        <v/>
      </c>
      <c r="H16" s="7">
        <f>IF(A16="","",IF(I16&lt;&gt;"","Pagado",IF(D16&lt;TODAY(),"Vencido",IF(D16-TODAY()&lt;=7,"Próximo","Pendiente"))))</f>
        <v/>
      </c>
      <c r="I16" s="13" t="n"/>
    </row>
    <row r="17">
      <c r="D17" s="13" t="n"/>
      <c r="E17" s="14" t="n"/>
      <c r="F17" s="14" t="n"/>
      <c r="G17" s="7">
        <f>IF(E17="","",MAX(0,E17-F17-IF(I17="",0,E17-F17)))</f>
        <v/>
      </c>
      <c r="H17" s="7">
        <f>IF(A17="","",IF(I17&lt;&gt;"","Pagado",IF(D17&lt;TODAY(),"Vencido",IF(D17-TODAY()&lt;=7,"Próximo","Pendiente"))))</f>
        <v/>
      </c>
      <c r="I17" s="13" t="n"/>
    </row>
    <row r="18">
      <c r="D18" s="13" t="n"/>
      <c r="E18" s="14" t="n"/>
      <c r="F18" s="14" t="n"/>
      <c r="G18" s="7">
        <f>IF(E18="","",MAX(0,E18-F18-IF(I18="",0,E18-F18)))</f>
        <v/>
      </c>
      <c r="H18" s="7">
        <f>IF(A18="","",IF(I18&lt;&gt;"","Pagado",IF(D18&lt;TODAY(),"Vencido",IF(D18-TODAY()&lt;=7,"Próximo","Pendiente"))))</f>
        <v/>
      </c>
      <c r="I18" s="13" t="n"/>
    </row>
    <row r="19">
      <c r="D19" s="13" t="n"/>
      <c r="E19" s="14" t="n"/>
      <c r="F19" s="14" t="n"/>
      <c r="G19" s="7">
        <f>IF(E19="","",MAX(0,E19-F19-IF(I19="",0,E19-F19)))</f>
        <v/>
      </c>
      <c r="H19" s="7">
        <f>IF(A19="","",IF(I19&lt;&gt;"","Pagado",IF(D19&lt;TODAY(),"Vencido",IF(D19-TODAY()&lt;=7,"Próximo","Pendiente"))))</f>
        <v/>
      </c>
      <c r="I19" s="13" t="n"/>
    </row>
    <row r="20">
      <c r="D20" s="13" t="n"/>
      <c r="E20" s="14" t="n"/>
      <c r="F20" s="14" t="n"/>
      <c r="G20" s="7">
        <f>IF(E20="","",MAX(0,E20-F20-IF(I20="",0,E20-F20)))</f>
        <v/>
      </c>
      <c r="H20" s="7">
        <f>IF(A20="","",IF(I20&lt;&gt;"","Pagado",IF(D20&lt;TODAY(),"Vencido",IF(D20-TODAY()&lt;=7,"Próximo","Pendiente"))))</f>
        <v/>
      </c>
      <c r="I20" s="13" t="n"/>
    </row>
    <row r="21">
      <c r="D21" s="13" t="n"/>
      <c r="E21" s="14" t="n"/>
      <c r="F21" s="14" t="n"/>
      <c r="G21" s="7">
        <f>IF(E21="","",MAX(0,E21-F21-IF(I21="",0,E21-F21)))</f>
        <v/>
      </c>
      <c r="H21" s="7">
        <f>IF(A21="","",IF(I21&lt;&gt;"","Pagado",IF(D21&lt;TODAY(),"Vencido",IF(D21-TODAY()&lt;=7,"Próximo","Pendiente"))))</f>
        <v/>
      </c>
      <c r="I21" s="13" t="n"/>
    </row>
    <row r="22">
      <c r="D22" s="13" t="n"/>
      <c r="E22" s="14" t="n"/>
      <c r="F22" s="14" t="n"/>
      <c r="G22" s="7">
        <f>IF(E22="","",MAX(0,E22-F22-IF(I22="",0,E22-F22)))</f>
        <v/>
      </c>
      <c r="H22" s="7">
        <f>IF(A22="","",IF(I22&lt;&gt;"","Pagado",IF(D22&lt;TODAY(),"Vencido",IF(D22-TODAY()&lt;=7,"Próximo","Pendiente"))))</f>
        <v/>
      </c>
      <c r="I22" s="13" t="n"/>
    </row>
    <row r="23">
      <c r="D23" s="13" t="n"/>
      <c r="E23" s="14" t="n"/>
      <c r="F23" s="14" t="n"/>
      <c r="G23" s="7">
        <f>IF(E23="","",MAX(0,E23-F23-IF(I23="",0,E23-F23)))</f>
        <v/>
      </c>
      <c r="H23" s="7">
        <f>IF(A23="","",IF(I23&lt;&gt;"","Pagado",IF(D23&lt;TODAY(),"Vencido",IF(D23-TODAY()&lt;=7,"Próximo","Pendiente"))))</f>
        <v/>
      </c>
      <c r="I23" s="13" t="n"/>
    </row>
    <row r="24">
      <c r="D24" s="13" t="n"/>
      <c r="E24" s="14" t="n"/>
      <c r="F24" s="14" t="n"/>
      <c r="G24" s="7">
        <f>IF(E24="","",MAX(0,E24-F24-IF(I24="",0,E24-F24)))</f>
        <v/>
      </c>
      <c r="H24" s="7">
        <f>IF(A24="","",IF(I24&lt;&gt;"","Pagado",IF(D24&lt;TODAY(),"Vencido",IF(D24-TODAY()&lt;=7,"Próximo","Pendiente"))))</f>
        <v/>
      </c>
      <c r="I24" s="13" t="n"/>
    </row>
    <row r="25">
      <c r="D25" s="13" t="n"/>
      <c r="E25" s="14" t="n"/>
      <c r="F25" s="14" t="n"/>
      <c r="G25" s="7">
        <f>IF(E25="","",MAX(0,E25-F25-IF(I25="",0,E25-F25)))</f>
        <v/>
      </c>
      <c r="H25" s="7">
        <f>IF(A25="","",IF(I25&lt;&gt;"","Pagado",IF(D25&lt;TODAY(),"Vencido",IF(D25-TODAY()&lt;=7,"Próximo","Pendiente"))))</f>
        <v/>
      </c>
      <c r="I25" s="13" t="n"/>
    </row>
    <row r="26">
      <c r="D26" s="13" t="n"/>
      <c r="E26" s="14" t="n"/>
      <c r="F26" s="14" t="n"/>
      <c r="G26" s="7">
        <f>IF(E26="","",MAX(0,E26-F26-IF(I26="",0,E26-F26)))</f>
        <v/>
      </c>
      <c r="H26" s="7">
        <f>IF(A26="","",IF(I26&lt;&gt;"","Pagado",IF(D26&lt;TODAY(),"Vencido",IF(D26-TODAY()&lt;=7,"Próximo","Pendiente"))))</f>
        <v/>
      </c>
      <c r="I26" s="13" t="n"/>
    </row>
    <row r="27">
      <c r="D27" s="13" t="n"/>
      <c r="E27" s="14" t="n"/>
      <c r="F27" s="14" t="n"/>
      <c r="G27" s="7">
        <f>IF(E27="","",MAX(0,E27-F27-IF(I27="",0,E27-F27)))</f>
        <v/>
      </c>
      <c r="H27" s="7">
        <f>IF(A27="","",IF(I27&lt;&gt;"","Pagado",IF(D27&lt;TODAY(),"Vencido",IF(D27-TODAY()&lt;=7,"Próximo","Pendiente"))))</f>
        <v/>
      </c>
      <c r="I27" s="13" t="n"/>
    </row>
    <row r="28">
      <c r="D28" s="13" t="n"/>
      <c r="E28" s="14" t="n"/>
      <c r="F28" s="14" t="n"/>
      <c r="G28" s="7">
        <f>IF(E28="","",MAX(0,E28-F28-IF(I28="",0,E28-F28)))</f>
        <v/>
      </c>
      <c r="H28" s="7">
        <f>IF(A28="","",IF(I28&lt;&gt;"","Pagado",IF(D28&lt;TODAY(),"Vencido",IF(D28-TODAY()&lt;=7,"Próximo","Pendiente"))))</f>
        <v/>
      </c>
      <c r="I28" s="13" t="n"/>
    </row>
    <row r="29">
      <c r="D29" s="13" t="n"/>
      <c r="E29" s="14" t="n"/>
      <c r="F29" s="14" t="n"/>
      <c r="G29" s="7">
        <f>IF(E29="","",MAX(0,E29-F29-IF(I29="",0,E29-F29)))</f>
        <v/>
      </c>
      <c r="H29" s="7">
        <f>IF(A29="","",IF(I29&lt;&gt;"","Pagado",IF(D29&lt;TODAY(),"Vencido",IF(D29-TODAY()&lt;=7,"Próximo","Pendiente"))))</f>
        <v/>
      </c>
      <c r="I29" s="13" t="n"/>
    </row>
    <row r="30">
      <c r="D30" s="13" t="n"/>
      <c r="E30" s="14" t="n"/>
      <c r="F30" s="14" t="n"/>
      <c r="G30" s="7">
        <f>IF(E30="","",MAX(0,E30-F30-IF(I30="",0,E30-F30)))</f>
        <v/>
      </c>
      <c r="H30" s="7">
        <f>IF(A30="","",IF(I30&lt;&gt;"","Pagado",IF(D30&lt;TODAY(),"Vencido",IF(D30-TODAY()&lt;=7,"Próximo","Pendiente"))))</f>
        <v/>
      </c>
      <c r="I30" s="13" t="n"/>
    </row>
    <row r="31">
      <c r="D31" s="13" t="n"/>
      <c r="E31" s="14" t="n"/>
      <c r="F31" s="14" t="n"/>
      <c r="G31" s="7">
        <f>IF(E31="","",MAX(0,E31-F31-IF(I31="",0,E31-F31)))</f>
        <v/>
      </c>
      <c r="H31" s="7">
        <f>IF(A31="","",IF(I31&lt;&gt;"","Pagado",IF(D31&lt;TODAY(),"Vencido",IF(D31-TODAY()&lt;=7,"Próximo","Pendiente"))))</f>
        <v/>
      </c>
      <c r="I31" s="13" t="n"/>
    </row>
    <row r="32">
      <c r="D32" s="13" t="n"/>
      <c r="E32" s="14" t="n"/>
      <c r="F32" s="14" t="n"/>
      <c r="G32" s="7">
        <f>IF(E32="","",MAX(0,E32-F32-IF(I32="",0,E32-F32)))</f>
        <v/>
      </c>
      <c r="H32" s="7">
        <f>IF(A32="","",IF(I32&lt;&gt;"","Pagado",IF(D32&lt;TODAY(),"Vencido",IF(D32-TODAY()&lt;=7,"Próximo","Pendiente"))))</f>
        <v/>
      </c>
      <c r="I32" s="13" t="n"/>
    </row>
    <row r="33">
      <c r="D33" s="13" t="n"/>
      <c r="E33" s="14" t="n"/>
      <c r="F33" s="14" t="n"/>
      <c r="G33" s="7">
        <f>IF(E33="","",MAX(0,E33-F33-IF(I33="",0,E33-F33)))</f>
        <v/>
      </c>
      <c r="H33" s="7">
        <f>IF(A33="","",IF(I33&lt;&gt;"","Pagado",IF(D33&lt;TODAY(),"Vencido",IF(D33-TODAY()&lt;=7,"Próximo","Pendiente"))))</f>
        <v/>
      </c>
      <c r="I33" s="13" t="n"/>
    </row>
    <row r="34">
      <c r="D34" s="13" t="n"/>
      <c r="E34" s="14" t="n"/>
      <c r="F34" s="14" t="n"/>
      <c r="G34" s="7">
        <f>IF(E34="","",MAX(0,E34-F34-IF(I34="",0,E34-F34)))</f>
        <v/>
      </c>
      <c r="H34" s="7">
        <f>IF(A34="","",IF(I34&lt;&gt;"","Pagado",IF(D34&lt;TODAY(),"Vencido",IF(D34-TODAY()&lt;=7,"Próximo","Pendiente"))))</f>
        <v/>
      </c>
      <c r="I34" s="13" t="n"/>
    </row>
    <row r="35">
      <c r="D35" s="13" t="n"/>
      <c r="E35" s="14" t="n"/>
      <c r="F35" s="14" t="n"/>
      <c r="G35" s="7">
        <f>IF(E35="","",MAX(0,E35-F35-IF(I35="",0,E35-F35)))</f>
        <v/>
      </c>
      <c r="H35" s="7">
        <f>IF(A35="","",IF(I35&lt;&gt;"","Pagado",IF(D35&lt;TODAY(),"Vencido",IF(D35-TODAY()&lt;=7,"Próximo","Pendiente"))))</f>
        <v/>
      </c>
      <c r="I35" s="13" t="n"/>
    </row>
    <row r="36">
      <c r="D36" s="13" t="n"/>
      <c r="E36" s="14" t="n"/>
      <c r="F36" s="14" t="n"/>
      <c r="G36" s="7">
        <f>IF(E36="","",MAX(0,E36-F36-IF(I36="",0,E36-F36)))</f>
        <v/>
      </c>
      <c r="H36" s="7">
        <f>IF(A36="","",IF(I36&lt;&gt;"","Pagado",IF(D36&lt;TODAY(),"Vencido",IF(D36-TODAY()&lt;=7,"Próximo","Pendiente"))))</f>
        <v/>
      </c>
      <c r="I36" s="13" t="n"/>
    </row>
    <row r="37">
      <c r="D37" s="13" t="n"/>
      <c r="E37" s="14" t="n"/>
      <c r="F37" s="14" t="n"/>
      <c r="G37" s="7">
        <f>IF(E37="","",MAX(0,E37-F37-IF(I37="",0,E37-F37)))</f>
        <v/>
      </c>
      <c r="H37" s="7">
        <f>IF(A37="","",IF(I37&lt;&gt;"","Pagado",IF(D37&lt;TODAY(),"Vencido",IF(D37-TODAY()&lt;=7,"Próximo","Pendiente"))))</f>
        <v/>
      </c>
      <c r="I37" s="13" t="n"/>
    </row>
    <row r="38">
      <c r="D38" s="13" t="n"/>
      <c r="E38" s="14" t="n"/>
      <c r="F38" s="14" t="n"/>
      <c r="G38" s="7">
        <f>IF(E38="","",MAX(0,E38-F38-IF(I38="",0,E38-F38)))</f>
        <v/>
      </c>
      <c r="H38" s="7">
        <f>IF(A38="","",IF(I38&lt;&gt;"","Pagado",IF(D38&lt;TODAY(),"Vencido",IF(D38-TODAY()&lt;=7,"Próximo","Pendiente"))))</f>
        <v/>
      </c>
      <c r="I38" s="13" t="n"/>
    </row>
    <row r="39">
      <c r="D39" s="13" t="n"/>
      <c r="E39" s="14" t="n"/>
      <c r="F39" s="14" t="n"/>
      <c r="G39" s="7">
        <f>IF(E39="","",MAX(0,E39-F39-IF(I39="",0,E39-F39)))</f>
        <v/>
      </c>
      <c r="H39" s="7">
        <f>IF(A39="","",IF(I39&lt;&gt;"","Pagado",IF(D39&lt;TODAY(),"Vencido",IF(D39-TODAY()&lt;=7,"Próximo","Pendiente"))))</f>
        <v/>
      </c>
      <c r="I39" s="13" t="n"/>
    </row>
    <row r="40">
      <c r="D40" s="13" t="n"/>
      <c r="E40" s="14" t="n"/>
      <c r="F40" s="14" t="n"/>
      <c r="G40" s="7">
        <f>IF(E40="","",MAX(0,E40-F40-IF(I40="",0,E40-F40)))</f>
        <v/>
      </c>
      <c r="H40" s="7">
        <f>IF(A40="","",IF(I40&lt;&gt;"","Pagado",IF(D40&lt;TODAY(),"Vencido",IF(D40-TODAY()&lt;=7,"Próximo","Pendiente"))))</f>
        <v/>
      </c>
      <c r="I40" s="13" t="n"/>
    </row>
    <row r="41">
      <c r="D41" s="13" t="n"/>
      <c r="E41" s="14" t="n"/>
      <c r="F41" s="14" t="n"/>
      <c r="G41" s="7">
        <f>IF(E41="","",MAX(0,E41-F41-IF(I41="",0,E41-F41)))</f>
        <v/>
      </c>
      <c r="H41" s="7">
        <f>IF(A41="","",IF(I41&lt;&gt;"","Pagado",IF(D41&lt;TODAY(),"Vencido",IF(D41-TODAY()&lt;=7,"Próximo","Pendiente"))))</f>
        <v/>
      </c>
      <c r="I41" s="13" t="n"/>
    </row>
    <row r="42">
      <c r="D42" s="13" t="n"/>
      <c r="E42" s="14" t="n"/>
      <c r="F42" s="14" t="n"/>
      <c r="G42" s="7">
        <f>IF(E42="","",MAX(0,E42-F42-IF(I42="",0,E42-F42)))</f>
        <v/>
      </c>
      <c r="H42" s="7">
        <f>IF(A42="","",IF(I42&lt;&gt;"","Pagado",IF(D42&lt;TODAY(),"Vencido",IF(D42-TODAY()&lt;=7,"Próximo","Pendiente"))))</f>
        <v/>
      </c>
      <c r="I42" s="13" t="n"/>
    </row>
    <row r="43">
      <c r="D43" s="13" t="n"/>
      <c r="E43" s="14" t="n"/>
      <c r="F43" s="14" t="n"/>
      <c r="G43" s="7">
        <f>IF(E43="","",MAX(0,E43-F43-IF(I43="",0,E43-F43)))</f>
        <v/>
      </c>
      <c r="H43" s="7">
        <f>IF(A43="","",IF(I43&lt;&gt;"","Pagado",IF(D43&lt;TODAY(),"Vencido",IF(D43-TODAY()&lt;=7,"Próximo","Pendiente"))))</f>
        <v/>
      </c>
      <c r="I43" s="13" t="n"/>
    </row>
    <row r="44">
      <c r="D44" s="13" t="n"/>
      <c r="E44" s="14" t="n"/>
      <c r="F44" s="14" t="n"/>
      <c r="G44" s="7">
        <f>IF(E44="","",MAX(0,E44-F44-IF(I44="",0,E44-F44)))</f>
        <v/>
      </c>
      <c r="H44" s="7">
        <f>IF(A44="","",IF(I44&lt;&gt;"","Pagado",IF(D44&lt;TODAY(),"Vencido",IF(D44-TODAY()&lt;=7,"Próximo","Pendiente"))))</f>
        <v/>
      </c>
      <c r="I44" s="13" t="n"/>
    </row>
    <row r="45">
      <c r="D45" s="13" t="n"/>
      <c r="E45" s="14" t="n"/>
      <c r="F45" s="14" t="n"/>
      <c r="G45" s="7">
        <f>IF(E45="","",MAX(0,E45-F45-IF(I45="",0,E45-F45)))</f>
        <v/>
      </c>
      <c r="H45" s="7">
        <f>IF(A45="","",IF(I45&lt;&gt;"","Pagado",IF(D45&lt;TODAY(),"Vencido",IF(D45-TODAY()&lt;=7,"Próximo","Pendiente"))))</f>
        <v/>
      </c>
      <c r="I45" s="13" t="n"/>
    </row>
    <row r="46">
      <c r="D46" s="13" t="n"/>
      <c r="E46" s="14" t="n"/>
      <c r="F46" s="14" t="n"/>
      <c r="G46" s="7">
        <f>IF(E46="","",MAX(0,E46-F46-IF(I46="",0,E46-F46)))</f>
        <v/>
      </c>
      <c r="H46" s="7">
        <f>IF(A46="","",IF(I46&lt;&gt;"","Pagado",IF(D46&lt;TODAY(),"Vencido",IF(D46-TODAY()&lt;=7,"Próximo","Pendiente"))))</f>
        <v/>
      </c>
      <c r="I46" s="13" t="n"/>
    </row>
    <row r="47">
      <c r="D47" s="13" t="n"/>
      <c r="E47" s="14" t="n"/>
      <c r="F47" s="14" t="n"/>
      <c r="G47" s="7">
        <f>IF(E47="","",MAX(0,E47-F47-IF(I47="",0,E47-F47)))</f>
        <v/>
      </c>
      <c r="H47" s="7">
        <f>IF(A47="","",IF(I47&lt;&gt;"","Pagado",IF(D47&lt;TODAY(),"Vencido",IF(D47-TODAY()&lt;=7,"Próximo","Pendiente"))))</f>
        <v/>
      </c>
      <c r="I47" s="13" t="n"/>
    </row>
    <row r="48">
      <c r="D48" s="13" t="n"/>
      <c r="E48" s="14" t="n"/>
      <c r="F48" s="14" t="n"/>
      <c r="G48" s="7">
        <f>IF(E48="","",MAX(0,E48-F48-IF(I48="",0,E48-F48)))</f>
        <v/>
      </c>
      <c r="H48" s="7">
        <f>IF(A48="","",IF(I48&lt;&gt;"","Pagado",IF(D48&lt;TODAY(),"Vencido",IF(D48-TODAY()&lt;=7,"Próximo","Pendiente"))))</f>
        <v/>
      </c>
      <c r="I48" s="13" t="n"/>
    </row>
    <row r="49">
      <c r="D49" s="13" t="n"/>
      <c r="E49" s="14" t="n"/>
      <c r="F49" s="14" t="n"/>
      <c r="G49" s="7">
        <f>IF(E49="","",MAX(0,E49-F49-IF(I49="",0,E49-F49)))</f>
        <v/>
      </c>
      <c r="H49" s="7">
        <f>IF(A49="","",IF(I49&lt;&gt;"","Pagado",IF(D49&lt;TODAY(),"Vencido",IF(D49-TODAY()&lt;=7,"Próximo","Pendiente"))))</f>
        <v/>
      </c>
      <c r="I49" s="13" t="n"/>
    </row>
    <row r="50">
      <c r="D50" s="13" t="n"/>
      <c r="E50" s="14" t="n"/>
      <c r="F50" s="14" t="n"/>
      <c r="G50" s="7">
        <f>IF(E50="","",MAX(0,E50-F50-IF(I50="",0,E50-F50)))</f>
        <v/>
      </c>
      <c r="H50" s="7">
        <f>IF(A50="","",IF(I50&lt;&gt;"","Pagado",IF(D50&lt;TODAY(),"Vencido",IF(D50-TODAY()&lt;=7,"Próximo","Pendiente"))))</f>
        <v/>
      </c>
      <c r="I50" s="13" t="n"/>
    </row>
    <row r="51">
      <c r="D51" s="13" t="n"/>
      <c r="E51" s="14" t="n"/>
      <c r="F51" s="14" t="n"/>
      <c r="G51" s="7">
        <f>IF(E51="","",MAX(0,E51-F51-IF(I51="",0,E51-F51)))</f>
        <v/>
      </c>
      <c r="H51" s="7">
        <f>IF(A51="","",IF(I51&lt;&gt;"","Pagado",IF(D51&lt;TODAY(),"Vencido",IF(D51-TODAY()&lt;=7,"Próximo","Pendiente"))))</f>
        <v/>
      </c>
      <c r="I51" s="13" t="n"/>
    </row>
    <row r="52">
      <c r="D52" s="13" t="n"/>
      <c r="E52" s="14" t="n"/>
      <c r="F52" s="14" t="n"/>
      <c r="G52" s="7">
        <f>IF(E52="","",MAX(0,E52-F52-IF(I52="",0,E52-F52)))</f>
        <v/>
      </c>
      <c r="H52" s="7">
        <f>IF(A52="","",IF(I52&lt;&gt;"","Pagado",IF(D52&lt;TODAY(),"Vencido",IF(D52-TODAY()&lt;=7,"Próximo","Pendiente"))))</f>
        <v/>
      </c>
      <c r="I52" s="13" t="n"/>
    </row>
    <row r="53">
      <c r="D53" s="13" t="n"/>
      <c r="E53" s="14" t="n"/>
      <c r="F53" s="14" t="n"/>
      <c r="G53" s="7">
        <f>IF(E53="","",MAX(0,E53-F53-IF(I53="",0,E53-F53)))</f>
        <v/>
      </c>
      <c r="H53" s="7">
        <f>IF(A53="","",IF(I53&lt;&gt;"","Pagado",IF(D53&lt;TODAY(),"Vencido",IF(D53-TODAY()&lt;=7,"Próximo","Pendiente"))))</f>
        <v/>
      </c>
      <c r="I53" s="13" t="n"/>
    </row>
    <row r="54">
      <c r="D54" s="13" t="n"/>
      <c r="E54" s="14" t="n"/>
      <c r="F54" s="14" t="n"/>
      <c r="G54" s="7">
        <f>IF(E54="","",MAX(0,E54-F54-IF(I54="",0,E54-F54)))</f>
        <v/>
      </c>
      <c r="H54" s="7">
        <f>IF(A54="","",IF(I54&lt;&gt;"","Pagado",IF(D54&lt;TODAY(),"Vencido",IF(D54-TODAY()&lt;=7,"Próximo","Pendiente"))))</f>
        <v/>
      </c>
      <c r="I54" s="13" t="n"/>
    </row>
    <row r="55">
      <c r="D55" s="13" t="n"/>
      <c r="E55" s="14" t="n"/>
      <c r="F55" s="14" t="n"/>
      <c r="G55" s="7">
        <f>IF(E55="","",MAX(0,E55-F55-IF(I55="",0,E55-F55)))</f>
        <v/>
      </c>
      <c r="H55" s="7">
        <f>IF(A55="","",IF(I55&lt;&gt;"","Pagado",IF(D55&lt;TODAY(),"Vencido",IF(D55-TODAY()&lt;=7,"Próximo","Pendiente"))))</f>
        <v/>
      </c>
      <c r="I55" s="13" t="n"/>
    </row>
    <row r="56">
      <c r="D56" s="13" t="n"/>
      <c r="E56" s="14" t="n"/>
      <c r="F56" s="14" t="n"/>
      <c r="G56" s="7">
        <f>IF(E56="","",MAX(0,E56-F56-IF(I56="",0,E56-F56)))</f>
        <v/>
      </c>
      <c r="H56" s="7">
        <f>IF(A56="","",IF(I56&lt;&gt;"","Pagado",IF(D56&lt;TODAY(),"Vencido",IF(D56-TODAY()&lt;=7,"Próximo","Pendiente"))))</f>
        <v/>
      </c>
      <c r="I56" s="13" t="n"/>
    </row>
    <row r="57">
      <c r="D57" s="13" t="n"/>
      <c r="E57" s="14" t="n"/>
      <c r="F57" s="14" t="n"/>
      <c r="G57" s="7">
        <f>IF(E57="","",MAX(0,E57-F57-IF(I57="",0,E57-F57)))</f>
        <v/>
      </c>
      <c r="H57" s="7">
        <f>IF(A57="","",IF(I57&lt;&gt;"","Pagado",IF(D57&lt;TODAY(),"Vencido",IF(D57-TODAY()&lt;=7,"Próximo","Pendiente"))))</f>
        <v/>
      </c>
      <c r="I57" s="13" t="n"/>
    </row>
    <row r="58">
      <c r="D58" s="13" t="n"/>
      <c r="E58" s="14" t="n"/>
      <c r="F58" s="14" t="n"/>
      <c r="G58" s="7">
        <f>IF(E58="","",MAX(0,E58-F58-IF(I58="",0,E58-F58)))</f>
        <v/>
      </c>
      <c r="H58" s="7">
        <f>IF(A58="","",IF(I58&lt;&gt;"","Pagado",IF(D58&lt;TODAY(),"Vencido",IF(D58-TODAY()&lt;=7,"Próximo","Pendiente"))))</f>
        <v/>
      </c>
      <c r="I58" s="13" t="n"/>
    </row>
    <row r="59">
      <c r="D59" s="13" t="n"/>
      <c r="E59" s="14" t="n"/>
      <c r="F59" s="14" t="n"/>
      <c r="G59" s="7">
        <f>IF(E59="","",MAX(0,E59-F59-IF(I59="",0,E59-F59)))</f>
        <v/>
      </c>
      <c r="H59" s="7">
        <f>IF(A59="","",IF(I59&lt;&gt;"","Pagado",IF(D59&lt;TODAY(),"Vencido",IF(D59-TODAY()&lt;=7,"Próximo","Pendiente"))))</f>
        <v/>
      </c>
      <c r="I59" s="13" t="n"/>
    </row>
    <row r="60">
      <c r="D60" s="13" t="n"/>
      <c r="E60" s="14" t="n"/>
      <c r="F60" s="14" t="n"/>
      <c r="G60" s="7">
        <f>IF(E60="","",MAX(0,E60-F60-IF(I60="",0,E60-F60)))</f>
        <v/>
      </c>
      <c r="H60" s="7">
        <f>IF(A60="","",IF(I60&lt;&gt;"","Pagado",IF(D60&lt;TODAY(),"Vencido",IF(D60-TODAY()&lt;=7,"Próximo","Pendiente"))))</f>
        <v/>
      </c>
      <c r="I60" s="13" t="n"/>
    </row>
    <row r="61">
      <c r="D61" s="13" t="n"/>
      <c r="E61" s="14" t="n"/>
      <c r="F61" s="14" t="n"/>
      <c r="G61" s="7">
        <f>IF(E61="","",MAX(0,E61-F61-IF(I61="",0,E61-F61)))</f>
        <v/>
      </c>
      <c r="H61" s="7">
        <f>IF(A61="","",IF(I61&lt;&gt;"","Pagado",IF(D61&lt;TODAY(),"Vencido",IF(D61-TODAY()&lt;=7,"Próximo","Pendiente"))))</f>
        <v/>
      </c>
      <c r="I61" s="13" t="n"/>
    </row>
    <row r="62">
      <c r="D62" s="13" t="n"/>
      <c r="E62" s="14" t="n"/>
      <c r="F62" s="14" t="n"/>
      <c r="G62" s="7">
        <f>IF(E62="","",MAX(0,E62-F62-IF(I62="",0,E62-F62)))</f>
        <v/>
      </c>
      <c r="H62" s="7">
        <f>IF(A62="","",IF(I62&lt;&gt;"","Pagado",IF(D62&lt;TODAY(),"Vencido",IF(D62-TODAY()&lt;=7,"Próximo","Pendiente"))))</f>
        <v/>
      </c>
      <c r="I62" s="13" t="n"/>
    </row>
    <row r="63">
      <c r="D63" s="13" t="n"/>
      <c r="E63" s="14" t="n"/>
      <c r="F63" s="14" t="n"/>
      <c r="G63" s="7">
        <f>IF(E63="","",MAX(0,E63-F63-IF(I63="",0,E63-F63)))</f>
        <v/>
      </c>
      <c r="H63" s="7">
        <f>IF(A63="","",IF(I63&lt;&gt;"","Pagado",IF(D63&lt;TODAY(),"Vencido",IF(D63-TODAY()&lt;=7,"Próximo","Pendiente"))))</f>
        <v/>
      </c>
      <c r="I63" s="13" t="n"/>
    </row>
    <row r="64">
      <c r="D64" s="13" t="n"/>
      <c r="E64" s="14" t="n"/>
      <c r="F64" s="14" t="n"/>
      <c r="G64" s="7">
        <f>IF(E64="","",MAX(0,E64-F64-IF(I64="",0,E64-F64)))</f>
        <v/>
      </c>
      <c r="H64" s="7">
        <f>IF(A64="","",IF(I64&lt;&gt;"","Pagado",IF(D64&lt;TODAY(),"Vencido",IF(D64-TODAY()&lt;=7,"Próximo","Pendiente"))))</f>
        <v/>
      </c>
      <c r="I64" s="13" t="n"/>
    </row>
    <row r="65">
      <c r="D65" s="13" t="n"/>
      <c r="E65" s="14" t="n"/>
      <c r="F65" s="14" t="n"/>
      <c r="G65" s="7">
        <f>IF(E65="","",MAX(0,E65-F65-IF(I65="",0,E65-F65)))</f>
        <v/>
      </c>
      <c r="H65" s="7">
        <f>IF(A65="","",IF(I65&lt;&gt;"","Pagado",IF(D65&lt;TODAY(),"Vencido",IF(D65-TODAY()&lt;=7,"Próximo","Pendiente"))))</f>
        <v/>
      </c>
      <c r="I65" s="13" t="n"/>
    </row>
    <row r="66">
      <c r="D66" s="13" t="n"/>
      <c r="E66" s="14" t="n"/>
      <c r="F66" s="14" t="n"/>
      <c r="G66" s="7">
        <f>IF(E66="","",MAX(0,E66-F66-IF(I66="",0,E66-F66)))</f>
        <v/>
      </c>
      <c r="H66" s="7">
        <f>IF(A66="","",IF(I66&lt;&gt;"","Pagado",IF(D66&lt;TODAY(),"Vencido",IF(D66-TODAY()&lt;=7,"Próximo","Pendiente"))))</f>
        <v/>
      </c>
      <c r="I66" s="13" t="n"/>
    </row>
    <row r="67">
      <c r="D67" s="13" t="n"/>
      <c r="E67" s="14" t="n"/>
      <c r="F67" s="14" t="n"/>
      <c r="G67" s="7">
        <f>IF(E67="","",MAX(0,E67-F67-IF(I67="",0,E67-F67)))</f>
        <v/>
      </c>
      <c r="H67" s="7">
        <f>IF(A67="","",IF(I67&lt;&gt;"","Pagado",IF(D67&lt;TODAY(),"Vencido",IF(D67-TODAY()&lt;=7,"Próximo","Pendiente"))))</f>
        <v/>
      </c>
      <c r="I67" s="13" t="n"/>
    </row>
    <row r="68">
      <c r="D68" s="13" t="n"/>
      <c r="E68" s="14" t="n"/>
      <c r="F68" s="14" t="n"/>
      <c r="G68" s="7">
        <f>IF(E68="","",MAX(0,E68-F68-IF(I68="",0,E68-F68)))</f>
        <v/>
      </c>
      <c r="H68" s="7">
        <f>IF(A68="","",IF(I68&lt;&gt;"","Pagado",IF(D68&lt;TODAY(),"Vencido",IF(D68-TODAY()&lt;=7,"Próximo","Pendiente"))))</f>
        <v/>
      </c>
      <c r="I68" s="13" t="n"/>
    </row>
    <row r="69">
      <c r="D69" s="13" t="n"/>
      <c r="E69" s="14" t="n"/>
      <c r="F69" s="14" t="n"/>
      <c r="G69" s="7">
        <f>IF(E69="","",MAX(0,E69-F69-IF(I69="",0,E69-F69)))</f>
        <v/>
      </c>
      <c r="H69" s="7">
        <f>IF(A69="","",IF(I69&lt;&gt;"","Pagado",IF(D69&lt;TODAY(),"Vencido",IF(D69-TODAY()&lt;=7,"Próximo","Pendiente"))))</f>
        <v/>
      </c>
      <c r="I69" s="13" t="n"/>
    </row>
    <row r="70">
      <c r="D70" s="13" t="n"/>
      <c r="E70" s="14" t="n"/>
      <c r="F70" s="14" t="n"/>
      <c r="G70" s="7">
        <f>IF(E70="","",MAX(0,E70-F70-IF(I70="",0,E70-F70)))</f>
        <v/>
      </c>
      <c r="H70" s="7">
        <f>IF(A70="","",IF(I70&lt;&gt;"","Pagado",IF(D70&lt;TODAY(),"Vencido",IF(D70-TODAY()&lt;=7,"Próximo","Pendiente"))))</f>
        <v/>
      </c>
      <c r="I70" s="13" t="n"/>
    </row>
    <row r="71">
      <c r="D71" s="13" t="n"/>
      <c r="E71" s="14" t="n"/>
      <c r="F71" s="14" t="n"/>
      <c r="G71" s="7">
        <f>IF(E71="","",MAX(0,E71-F71-IF(I71="",0,E71-F71)))</f>
        <v/>
      </c>
      <c r="H71" s="7">
        <f>IF(A71="","",IF(I71&lt;&gt;"","Pagado",IF(D71&lt;TODAY(),"Vencido",IF(D71-TODAY()&lt;=7,"Próximo","Pendiente"))))</f>
        <v/>
      </c>
      <c r="I71" s="13" t="n"/>
    </row>
    <row r="72">
      <c r="D72" s="13" t="n"/>
      <c r="E72" s="14" t="n"/>
      <c r="F72" s="14" t="n"/>
      <c r="G72" s="7">
        <f>IF(E72="","",MAX(0,E72-F72-IF(I72="",0,E72-F72)))</f>
        <v/>
      </c>
      <c r="H72" s="7">
        <f>IF(A72="","",IF(I72&lt;&gt;"","Pagado",IF(D72&lt;TODAY(),"Vencido",IF(D72-TODAY()&lt;=7,"Próximo","Pendiente"))))</f>
        <v/>
      </c>
      <c r="I72" s="13" t="n"/>
    </row>
    <row r="73">
      <c r="D73" s="13" t="n"/>
      <c r="E73" s="14" t="n"/>
      <c r="F73" s="14" t="n"/>
      <c r="G73" s="7">
        <f>IF(E73="","",MAX(0,E73-F73-IF(I73="",0,E73-F73)))</f>
        <v/>
      </c>
      <c r="H73" s="7">
        <f>IF(A73="","",IF(I73&lt;&gt;"","Pagado",IF(D73&lt;TODAY(),"Vencido",IF(D73-TODAY()&lt;=7,"Próximo","Pendiente"))))</f>
        <v/>
      </c>
      <c r="I73" s="13" t="n"/>
    </row>
    <row r="74">
      <c r="D74" s="13" t="n"/>
      <c r="E74" s="14" t="n"/>
      <c r="F74" s="14" t="n"/>
      <c r="G74" s="7">
        <f>IF(E74="","",MAX(0,E74-F74-IF(I74="",0,E74-F74)))</f>
        <v/>
      </c>
      <c r="H74" s="7">
        <f>IF(A74="","",IF(I74&lt;&gt;"","Pagado",IF(D74&lt;TODAY(),"Vencido",IF(D74-TODAY()&lt;=7,"Próximo","Pendiente"))))</f>
        <v/>
      </c>
      <c r="I74" s="13" t="n"/>
    </row>
    <row r="75">
      <c r="D75" s="13" t="n"/>
      <c r="E75" s="14" t="n"/>
      <c r="F75" s="14" t="n"/>
      <c r="G75" s="7">
        <f>IF(E75="","",MAX(0,E75-F75-IF(I75="",0,E75-F75)))</f>
        <v/>
      </c>
      <c r="H75" s="7">
        <f>IF(A75="","",IF(I75&lt;&gt;"","Pagado",IF(D75&lt;TODAY(),"Vencido",IF(D75-TODAY()&lt;=7,"Próximo","Pendiente"))))</f>
        <v/>
      </c>
      <c r="I75" s="13" t="n"/>
    </row>
    <row r="76">
      <c r="D76" s="13" t="n"/>
      <c r="E76" s="14" t="n"/>
      <c r="F76" s="14" t="n"/>
      <c r="G76" s="7">
        <f>IF(E76="","",MAX(0,E76-F76-IF(I76="",0,E76-F76)))</f>
        <v/>
      </c>
      <c r="H76" s="7">
        <f>IF(A76="","",IF(I76&lt;&gt;"","Pagado",IF(D76&lt;TODAY(),"Vencido",IF(D76-TODAY()&lt;=7,"Próximo","Pendiente"))))</f>
        <v/>
      </c>
      <c r="I76" s="13" t="n"/>
    </row>
    <row r="77">
      <c r="D77" s="13" t="n"/>
      <c r="E77" s="14" t="n"/>
      <c r="F77" s="14" t="n"/>
      <c r="G77" s="7">
        <f>IF(E77="","",MAX(0,E77-F77-IF(I77="",0,E77-F77)))</f>
        <v/>
      </c>
      <c r="H77" s="7">
        <f>IF(A77="","",IF(I77&lt;&gt;"","Pagado",IF(D77&lt;TODAY(),"Vencido",IF(D77-TODAY()&lt;=7,"Próximo","Pendiente"))))</f>
        <v/>
      </c>
      <c r="I77" s="13" t="n"/>
    </row>
    <row r="78">
      <c r="D78" s="13" t="n"/>
      <c r="E78" s="14" t="n"/>
      <c r="F78" s="14" t="n"/>
      <c r="G78" s="7">
        <f>IF(E78="","",MAX(0,E78-F78-IF(I78="",0,E78-F78)))</f>
        <v/>
      </c>
      <c r="H78" s="7">
        <f>IF(A78="","",IF(I78&lt;&gt;"","Pagado",IF(D78&lt;TODAY(),"Vencido",IF(D78-TODAY()&lt;=7,"Próximo","Pendiente"))))</f>
        <v/>
      </c>
      <c r="I78" s="13" t="n"/>
    </row>
    <row r="79">
      <c r="D79" s="13" t="n"/>
      <c r="E79" s="14" t="n"/>
      <c r="F79" s="14" t="n"/>
      <c r="G79" s="7">
        <f>IF(E79="","",MAX(0,E79-F79-IF(I79="",0,E79-F79)))</f>
        <v/>
      </c>
      <c r="H79" s="7">
        <f>IF(A79="","",IF(I79&lt;&gt;"","Pagado",IF(D79&lt;TODAY(),"Vencido",IF(D79-TODAY()&lt;=7,"Próximo","Pendiente"))))</f>
        <v/>
      </c>
      <c r="I79" s="13" t="n"/>
    </row>
    <row r="80">
      <c r="D80" s="13" t="n"/>
      <c r="E80" s="14" t="n"/>
      <c r="F80" s="14" t="n"/>
      <c r="G80" s="7">
        <f>IF(E80="","",MAX(0,E80-F80-IF(I80="",0,E80-F80)))</f>
        <v/>
      </c>
      <c r="H80" s="7">
        <f>IF(A80="","",IF(I80&lt;&gt;"","Pagado",IF(D80&lt;TODAY(),"Vencido",IF(D80-TODAY()&lt;=7,"Próximo","Pendiente"))))</f>
        <v/>
      </c>
      <c r="I80" s="13" t="n"/>
    </row>
    <row r="81">
      <c r="D81" s="13" t="n"/>
      <c r="E81" s="14" t="n"/>
      <c r="F81" s="14" t="n"/>
      <c r="G81" s="7">
        <f>IF(E81="","",MAX(0,E81-F81-IF(I81="",0,E81-F81)))</f>
        <v/>
      </c>
      <c r="H81" s="7">
        <f>IF(A81="","",IF(I81&lt;&gt;"","Pagado",IF(D81&lt;TODAY(),"Vencido",IF(D81-TODAY()&lt;=7,"Próximo","Pendiente"))))</f>
        <v/>
      </c>
      <c r="I81" s="13" t="n"/>
    </row>
    <row r="82">
      <c r="D82" s="13" t="n"/>
      <c r="E82" s="14" t="n"/>
      <c r="F82" s="14" t="n"/>
      <c r="G82" s="7">
        <f>IF(E82="","",MAX(0,E82-F82-IF(I82="",0,E82-F82)))</f>
        <v/>
      </c>
      <c r="H82" s="7">
        <f>IF(A82="","",IF(I82&lt;&gt;"","Pagado",IF(D82&lt;TODAY(),"Vencido",IF(D82-TODAY()&lt;=7,"Próximo","Pendiente"))))</f>
        <v/>
      </c>
      <c r="I82" s="13" t="n"/>
    </row>
    <row r="83">
      <c r="D83" s="13" t="n"/>
      <c r="E83" s="14" t="n"/>
      <c r="F83" s="14" t="n"/>
      <c r="G83" s="7">
        <f>IF(E83="","",MAX(0,E83-F83-IF(I83="",0,E83-F83)))</f>
        <v/>
      </c>
      <c r="H83" s="7">
        <f>IF(A83="","",IF(I83&lt;&gt;"","Pagado",IF(D83&lt;TODAY(),"Vencido",IF(D83-TODAY()&lt;=7,"Próximo","Pendiente"))))</f>
        <v/>
      </c>
      <c r="I83" s="13" t="n"/>
    </row>
    <row r="84">
      <c r="D84" s="13" t="n"/>
      <c r="E84" s="14" t="n"/>
      <c r="F84" s="14" t="n"/>
      <c r="G84" s="7">
        <f>IF(E84="","",MAX(0,E84-F84-IF(I84="",0,E84-F84)))</f>
        <v/>
      </c>
      <c r="H84" s="7">
        <f>IF(A84="","",IF(I84&lt;&gt;"","Pagado",IF(D84&lt;TODAY(),"Vencido",IF(D84-TODAY()&lt;=7,"Próximo","Pendiente"))))</f>
        <v/>
      </c>
      <c r="I84" s="13" t="n"/>
    </row>
    <row r="85">
      <c r="D85" s="13" t="n"/>
      <c r="E85" s="14" t="n"/>
      <c r="F85" s="14" t="n"/>
      <c r="G85" s="7">
        <f>IF(E85="","",MAX(0,E85-F85-IF(I85="",0,E85-F85)))</f>
        <v/>
      </c>
      <c r="H85" s="7">
        <f>IF(A85="","",IF(I85&lt;&gt;"","Pagado",IF(D85&lt;TODAY(),"Vencido",IF(D85-TODAY()&lt;=7,"Próximo","Pendiente"))))</f>
        <v/>
      </c>
      <c r="I85" s="13" t="n"/>
    </row>
    <row r="86">
      <c r="D86" s="13" t="n"/>
      <c r="E86" s="14" t="n"/>
      <c r="F86" s="14" t="n"/>
      <c r="G86" s="7">
        <f>IF(E86="","",MAX(0,E86-F86-IF(I86="",0,E86-F86)))</f>
        <v/>
      </c>
      <c r="H86" s="7">
        <f>IF(A86="","",IF(I86&lt;&gt;"","Pagado",IF(D86&lt;TODAY(),"Vencido",IF(D86-TODAY()&lt;=7,"Próximo","Pendiente"))))</f>
        <v/>
      </c>
      <c r="I86" s="13" t="n"/>
    </row>
    <row r="87">
      <c r="D87" s="13" t="n"/>
      <c r="E87" s="14" t="n"/>
      <c r="F87" s="14" t="n"/>
      <c r="G87" s="7">
        <f>IF(E87="","",MAX(0,E87-F87-IF(I87="",0,E87-F87)))</f>
        <v/>
      </c>
      <c r="H87" s="7">
        <f>IF(A87="","",IF(I87&lt;&gt;"","Pagado",IF(D87&lt;TODAY(),"Vencido",IF(D87-TODAY()&lt;=7,"Próximo","Pendiente"))))</f>
        <v/>
      </c>
      <c r="I87" s="13" t="n"/>
    </row>
    <row r="88">
      <c r="D88" s="13" t="n"/>
      <c r="E88" s="14" t="n"/>
      <c r="F88" s="14" t="n"/>
      <c r="G88" s="7">
        <f>IF(E88="","",MAX(0,E88-F88-IF(I88="",0,E88-F88)))</f>
        <v/>
      </c>
      <c r="H88" s="7">
        <f>IF(A88="","",IF(I88&lt;&gt;"","Pagado",IF(D88&lt;TODAY(),"Vencido",IF(D88-TODAY()&lt;=7,"Próximo","Pendiente"))))</f>
        <v/>
      </c>
      <c r="I88" s="13" t="n"/>
    </row>
    <row r="89">
      <c r="D89" s="13" t="n"/>
      <c r="E89" s="14" t="n"/>
      <c r="F89" s="14" t="n"/>
      <c r="G89" s="7">
        <f>IF(E89="","",MAX(0,E89-F89-IF(I89="",0,E89-F89)))</f>
        <v/>
      </c>
      <c r="H89" s="7">
        <f>IF(A89="","",IF(I89&lt;&gt;"","Pagado",IF(D89&lt;TODAY(),"Vencido",IF(D89-TODAY()&lt;=7,"Próximo","Pendiente"))))</f>
        <v/>
      </c>
      <c r="I89" s="13" t="n"/>
    </row>
    <row r="90">
      <c r="D90" s="13" t="n"/>
      <c r="E90" s="14" t="n"/>
      <c r="F90" s="14" t="n"/>
      <c r="G90" s="7">
        <f>IF(E90="","",MAX(0,E90-F90-IF(I90="",0,E90-F90)))</f>
        <v/>
      </c>
      <c r="H90" s="7">
        <f>IF(A90="","",IF(I90&lt;&gt;"","Pagado",IF(D90&lt;TODAY(),"Vencido",IF(D90-TODAY()&lt;=7,"Próximo","Pendiente"))))</f>
        <v/>
      </c>
      <c r="I90" s="13" t="n"/>
    </row>
    <row r="91">
      <c r="D91" s="13" t="n"/>
      <c r="E91" s="14" t="n"/>
      <c r="F91" s="14" t="n"/>
      <c r="G91" s="7">
        <f>IF(E91="","",MAX(0,E91-F91-IF(I91="",0,E91-F91)))</f>
        <v/>
      </c>
      <c r="H91" s="7">
        <f>IF(A91="","",IF(I91&lt;&gt;"","Pagado",IF(D91&lt;TODAY(),"Vencido",IF(D91-TODAY()&lt;=7,"Próximo","Pendiente"))))</f>
        <v/>
      </c>
      <c r="I91" s="13" t="n"/>
    </row>
    <row r="92">
      <c r="D92" s="13" t="n"/>
      <c r="E92" s="14" t="n"/>
      <c r="F92" s="14" t="n"/>
      <c r="G92" s="7">
        <f>IF(E92="","",MAX(0,E92-F92-IF(I92="",0,E92-F92)))</f>
        <v/>
      </c>
      <c r="H92" s="7">
        <f>IF(A92="","",IF(I92&lt;&gt;"","Pagado",IF(D92&lt;TODAY(),"Vencido",IF(D92-TODAY()&lt;=7,"Próximo","Pendiente"))))</f>
        <v/>
      </c>
      <c r="I92" s="13" t="n"/>
    </row>
    <row r="93">
      <c r="D93" s="13" t="n"/>
      <c r="E93" s="14" t="n"/>
      <c r="F93" s="14" t="n"/>
      <c r="G93" s="7">
        <f>IF(E93="","",MAX(0,E93-F93-IF(I93="",0,E93-F93)))</f>
        <v/>
      </c>
      <c r="H93" s="7">
        <f>IF(A93="","",IF(I93&lt;&gt;"","Pagado",IF(D93&lt;TODAY(),"Vencido",IF(D93-TODAY()&lt;=7,"Próximo","Pendiente"))))</f>
        <v/>
      </c>
      <c r="I93" s="13" t="n"/>
    </row>
    <row r="94">
      <c r="D94" s="13" t="n"/>
      <c r="E94" s="14" t="n"/>
      <c r="F94" s="14" t="n"/>
      <c r="G94" s="7">
        <f>IF(E94="","",MAX(0,E94-F94-IF(I94="",0,E94-F94)))</f>
        <v/>
      </c>
      <c r="H94" s="7">
        <f>IF(A94="","",IF(I94&lt;&gt;"","Pagado",IF(D94&lt;TODAY(),"Vencido",IF(D94-TODAY()&lt;=7,"Próximo","Pendiente"))))</f>
        <v/>
      </c>
      <c r="I94" s="13" t="n"/>
    </row>
    <row r="95">
      <c r="D95" s="13" t="n"/>
      <c r="E95" s="14" t="n"/>
      <c r="F95" s="14" t="n"/>
      <c r="G95" s="7">
        <f>IF(E95="","",MAX(0,E95-F95-IF(I95="",0,E95-F95)))</f>
        <v/>
      </c>
      <c r="H95" s="7">
        <f>IF(A95="","",IF(I95&lt;&gt;"","Pagado",IF(D95&lt;TODAY(),"Vencido",IF(D95-TODAY()&lt;=7,"Próximo","Pendiente"))))</f>
        <v/>
      </c>
      <c r="I95" s="13" t="n"/>
    </row>
    <row r="96">
      <c r="D96" s="13" t="n"/>
      <c r="E96" s="14" t="n"/>
      <c r="F96" s="14" t="n"/>
      <c r="G96" s="7">
        <f>IF(E96="","",MAX(0,E96-F96-IF(I96="",0,E96-F96)))</f>
        <v/>
      </c>
      <c r="H96" s="7">
        <f>IF(A96="","",IF(I96&lt;&gt;"","Pagado",IF(D96&lt;TODAY(),"Vencido",IF(D96-TODAY()&lt;=7,"Próximo","Pendiente"))))</f>
        <v/>
      </c>
      <c r="I96" s="13" t="n"/>
    </row>
    <row r="97">
      <c r="D97" s="13" t="n"/>
      <c r="E97" s="14" t="n"/>
      <c r="F97" s="14" t="n"/>
      <c r="G97" s="7">
        <f>IF(E97="","",MAX(0,E97-F97-IF(I97="",0,E97-F97)))</f>
        <v/>
      </c>
      <c r="H97" s="7">
        <f>IF(A97="","",IF(I97&lt;&gt;"","Pagado",IF(D97&lt;TODAY(),"Vencido",IF(D97-TODAY()&lt;=7,"Próximo","Pendiente"))))</f>
        <v/>
      </c>
      <c r="I97" s="13" t="n"/>
    </row>
    <row r="98">
      <c r="D98" s="13" t="n"/>
      <c r="E98" s="14" t="n"/>
      <c r="F98" s="14" t="n"/>
      <c r="G98" s="7">
        <f>IF(E98="","",MAX(0,E98-F98-IF(I98="",0,E98-F98)))</f>
        <v/>
      </c>
      <c r="H98" s="7">
        <f>IF(A98="","",IF(I98&lt;&gt;"","Pagado",IF(D98&lt;TODAY(),"Vencido",IF(D98-TODAY()&lt;=7,"Próximo","Pendiente"))))</f>
        <v/>
      </c>
      <c r="I98" s="13" t="n"/>
    </row>
    <row r="99">
      <c r="D99" s="13" t="n"/>
      <c r="E99" s="14" t="n"/>
      <c r="F99" s="14" t="n"/>
      <c r="G99" s="7">
        <f>IF(E99="","",MAX(0,E99-F99-IF(I99="",0,E99-F99)))</f>
        <v/>
      </c>
      <c r="H99" s="7">
        <f>IF(A99="","",IF(I99&lt;&gt;"","Pagado",IF(D99&lt;TODAY(),"Vencido",IF(D99-TODAY()&lt;=7,"Próximo","Pendiente"))))</f>
        <v/>
      </c>
      <c r="I99" s="13" t="n"/>
    </row>
    <row r="100">
      <c r="D100" s="13" t="n"/>
      <c r="E100" s="14" t="n"/>
      <c r="F100" s="14" t="n"/>
      <c r="G100" s="7">
        <f>IF(E100="","",MAX(0,E100-F100-IF(I100="",0,E100-F100)))</f>
        <v/>
      </c>
      <c r="H100" s="7">
        <f>IF(A100="","",IF(I100&lt;&gt;"","Pagado",IF(D100&lt;TODAY(),"Vencido",IF(D100-TODAY()&lt;=7,"Próximo","Pendiente"))))</f>
        <v/>
      </c>
      <c r="I100" s="13" t="n"/>
    </row>
    <row r="101">
      <c r="D101" s="13" t="n"/>
      <c r="E101" s="14" t="n"/>
      <c r="F101" s="14" t="n"/>
      <c r="G101" s="7">
        <f>IF(E101="","",MAX(0,E101-F101-IF(I101="",0,E101-F101)))</f>
        <v/>
      </c>
      <c r="H101" s="7">
        <f>IF(A101="","",IF(I101&lt;&gt;"","Pagado",IF(D101&lt;TODAY(),"Vencido",IF(D101-TODAY()&lt;=7,"Próximo","Pendiente"))))</f>
        <v/>
      </c>
      <c r="I101" s="13" t="n"/>
    </row>
    <row r="102">
      <c r="D102" s="13" t="n"/>
      <c r="E102" s="14" t="n"/>
      <c r="F102" s="14" t="n"/>
      <c r="G102" s="7">
        <f>IF(E102="","",MAX(0,E102-F102-IF(I102="",0,E102-F102)))</f>
        <v/>
      </c>
      <c r="H102" s="7">
        <f>IF(A102="","",IF(I102&lt;&gt;"","Pagado",IF(D102&lt;TODAY(),"Vencido",IF(D102-TODAY()&lt;=7,"Próximo","Pendiente"))))</f>
        <v/>
      </c>
      <c r="I102" s="13" t="n"/>
    </row>
    <row r="103">
      <c r="D103" s="13" t="n"/>
      <c r="E103" s="14" t="n"/>
      <c r="F103" s="14" t="n"/>
      <c r="G103" s="7">
        <f>IF(E103="","",MAX(0,E103-F103-IF(I103="",0,E103-F103)))</f>
        <v/>
      </c>
      <c r="H103" s="7">
        <f>IF(A103="","",IF(I103&lt;&gt;"","Pagado",IF(D103&lt;TODAY(),"Vencido",IF(D103-TODAY()&lt;=7,"Próximo","Pendiente"))))</f>
        <v/>
      </c>
      <c r="I103" s="13" t="n"/>
    </row>
    <row r="104">
      <c r="D104" s="13" t="n"/>
      <c r="E104" s="14" t="n"/>
      <c r="F104" s="14" t="n"/>
      <c r="G104" s="7">
        <f>IF(E104="","",MAX(0,E104-F104-IF(I104="",0,E104-F104)))</f>
        <v/>
      </c>
      <c r="H104" s="7">
        <f>IF(A104="","",IF(I104&lt;&gt;"","Pagado",IF(D104&lt;TODAY(),"Vencido",IF(D104-TODAY()&lt;=7,"Próximo","Pendiente"))))</f>
        <v/>
      </c>
      <c r="I104" s="13" t="n"/>
    </row>
    <row r="105">
      <c r="D105" s="13" t="n"/>
      <c r="E105" s="14" t="n"/>
      <c r="F105" s="14" t="n"/>
      <c r="G105" s="7">
        <f>IF(E105="","",MAX(0,E105-F105-IF(I105="",0,E105-F105)))</f>
        <v/>
      </c>
      <c r="H105" s="7">
        <f>IF(A105="","",IF(I105&lt;&gt;"","Pagado",IF(D105&lt;TODAY(),"Vencido",IF(D105-TODAY()&lt;=7,"Próximo","Pendiente"))))</f>
        <v/>
      </c>
      <c r="I105" s="13" t="n"/>
    </row>
    <row r="106">
      <c r="D106" s="13" t="n"/>
      <c r="E106" s="14" t="n"/>
      <c r="F106" s="14" t="n"/>
      <c r="G106" s="7">
        <f>IF(E106="","",MAX(0,E106-F106-IF(I106="",0,E106-F106)))</f>
        <v/>
      </c>
      <c r="H106" s="7">
        <f>IF(A106="","",IF(I106&lt;&gt;"","Pagado",IF(D106&lt;TODAY(),"Vencido",IF(D106-TODAY()&lt;=7,"Próximo","Pendiente"))))</f>
        <v/>
      </c>
      <c r="I106" s="13" t="n"/>
    </row>
    <row r="107">
      <c r="D107" s="13" t="n"/>
      <c r="E107" s="14" t="n"/>
      <c r="F107" s="14" t="n"/>
      <c r="G107" s="7">
        <f>IF(E107="","",MAX(0,E107-F107-IF(I107="",0,E107-F107)))</f>
        <v/>
      </c>
      <c r="H107" s="7">
        <f>IF(A107="","",IF(I107&lt;&gt;"","Pagado",IF(D107&lt;TODAY(),"Vencido",IF(D107-TODAY()&lt;=7,"Próximo","Pendiente"))))</f>
        <v/>
      </c>
      <c r="I107" s="13" t="n"/>
    </row>
    <row r="108">
      <c r="D108" s="13" t="n"/>
      <c r="E108" s="14" t="n"/>
      <c r="F108" s="14" t="n"/>
      <c r="G108" s="7">
        <f>IF(E108="","",MAX(0,E108-F108-IF(I108="",0,E108-F108)))</f>
        <v/>
      </c>
      <c r="H108" s="7">
        <f>IF(A108="","",IF(I108&lt;&gt;"","Pagado",IF(D108&lt;TODAY(),"Vencido",IF(D108-TODAY()&lt;=7,"Próximo","Pendiente"))))</f>
        <v/>
      </c>
      <c r="I108" s="13" t="n"/>
    </row>
    <row r="109">
      <c r="D109" s="13" t="n"/>
      <c r="E109" s="14" t="n"/>
      <c r="F109" s="14" t="n"/>
      <c r="G109" s="7">
        <f>IF(E109="","",MAX(0,E109-F109-IF(I109="",0,E109-F109)))</f>
        <v/>
      </c>
      <c r="H109" s="7">
        <f>IF(A109="","",IF(I109&lt;&gt;"","Pagado",IF(D109&lt;TODAY(),"Vencido",IF(D109-TODAY()&lt;=7,"Próximo","Pendiente"))))</f>
        <v/>
      </c>
      <c r="I109" s="13" t="n"/>
    </row>
    <row r="110">
      <c r="D110" s="13" t="n"/>
      <c r="E110" s="14" t="n"/>
      <c r="F110" s="14" t="n"/>
      <c r="G110" s="7">
        <f>IF(E110="","",MAX(0,E110-F110-IF(I110="",0,E110-F110)))</f>
        <v/>
      </c>
      <c r="H110" s="7">
        <f>IF(A110="","",IF(I110&lt;&gt;"","Pagado",IF(D110&lt;TODAY(),"Vencido",IF(D110-TODAY()&lt;=7,"Próximo","Pendiente"))))</f>
        <v/>
      </c>
      <c r="I110" s="13" t="n"/>
    </row>
    <row r="111">
      <c r="D111" s="13" t="n"/>
      <c r="E111" s="14" t="n"/>
      <c r="F111" s="14" t="n"/>
      <c r="G111" s="7">
        <f>IF(E111="","",MAX(0,E111-F111-IF(I111="",0,E111-F111)))</f>
        <v/>
      </c>
      <c r="H111" s="7">
        <f>IF(A111="","",IF(I111&lt;&gt;"","Pagado",IF(D111&lt;TODAY(),"Vencido",IF(D111-TODAY()&lt;=7,"Próximo","Pendiente"))))</f>
        <v/>
      </c>
      <c r="I111" s="13" t="n"/>
    </row>
    <row r="112">
      <c r="D112" s="13" t="n"/>
      <c r="E112" s="14" t="n"/>
      <c r="F112" s="14" t="n"/>
      <c r="G112" s="7">
        <f>IF(E112="","",MAX(0,E112-F112-IF(I112="",0,E112-F112)))</f>
        <v/>
      </c>
      <c r="H112" s="7">
        <f>IF(A112="","",IF(I112&lt;&gt;"","Pagado",IF(D112&lt;TODAY(),"Vencido",IF(D112-TODAY()&lt;=7,"Próximo","Pendiente"))))</f>
        <v/>
      </c>
      <c r="I112" s="13" t="n"/>
    </row>
    <row r="113">
      <c r="D113" s="13" t="n"/>
      <c r="E113" s="14" t="n"/>
      <c r="F113" s="14" t="n"/>
      <c r="G113" s="7">
        <f>IF(E113="","",MAX(0,E113-F113-IF(I113="",0,E113-F113)))</f>
        <v/>
      </c>
      <c r="H113" s="7">
        <f>IF(A113="","",IF(I113&lt;&gt;"","Pagado",IF(D113&lt;TODAY(),"Vencido",IF(D113-TODAY()&lt;=7,"Próximo","Pendiente"))))</f>
        <v/>
      </c>
      <c r="I113" s="13" t="n"/>
    </row>
    <row r="114">
      <c r="D114" s="13" t="n"/>
      <c r="E114" s="14" t="n"/>
      <c r="F114" s="14" t="n"/>
      <c r="G114" s="7">
        <f>IF(E114="","",MAX(0,E114-F114-IF(I114="",0,E114-F114)))</f>
        <v/>
      </c>
      <c r="H114" s="7">
        <f>IF(A114="","",IF(I114&lt;&gt;"","Pagado",IF(D114&lt;TODAY(),"Vencido",IF(D114-TODAY()&lt;=7,"Próximo","Pendiente"))))</f>
        <v/>
      </c>
      <c r="I114" s="13" t="n"/>
    </row>
    <row r="115">
      <c r="D115" s="13" t="n"/>
      <c r="E115" s="14" t="n"/>
      <c r="F115" s="14" t="n"/>
      <c r="G115" s="7">
        <f>IF(E115="","",MAX(0,E115-F115-IF(I115="",0,E115-F115)))</f>
        <v/>
      </c>
      <c r="H115" s="7">
        <f>IF(A115="","",IF(I115&lt;&gt;"","Pagado",IF(D115&lt;TODAY(),"Vencido",IF(D115-TODAY()&lt;=7,"Próximo","Pendiente"))))</f>
        <v/>
      </c>
      <c r="I115" s="13" t="n"/>
    </row>
    <row r="116">
      <c r="D116" s="13" t="n"/>
      <c r="E116" s="14" t="n"/>
      <c r="F116" s="14" t="n"/>
      <c r="G116" s="7">
        <f>IF(E116="","",MAX(0,E116-F116-IF(I116="",0,E116-F116)))</f>
        <v/>
      </c>
      <c r="H116" s="7">
        <f>IF(A116="","",IF(I116&lt;&gt;"","Pagado",IF(D116&lt;TODAY(),"Vencido",IF(D116-TODAY()&lt;=7,"Próximo","Pendiente"))))</f>
        <v/>
      </c>
      <c r="I116" s="13" t="n"/>
    </row>
    <row r="117">
      <c r="D117" s="13" t="n"/>
      <c r="E117" s="14" t="n"/>
      <c r="F117" s="14" t="n"/>
      <c r="G117" s="7">
        <f>IF(E117="","",MAX(0,E117-F117-IF(I117="",0,E117-F117)))</f>
        <v/>
      </c>
      <c r="H117" s="7">
        <f>IF(A117="","",IF(I117&lt;&gt;"","Pagado",IF(D117&lt;TODAY(),"Vencido",IF(D117-TODAY()&lt;=7,"Próximo","Pendiente"))))</f>
        <v/>
      </c>
      <c r="I117" s="13" t="n"/>
    </row>
    <row r="118">
      <c r="D118" s="13" t="n"/>
      <c r="E118" s="14" t="n"/>
      <c r="F118" s="14" t="n"/>
      <c r="G118" s="7">
        <f>IF(E118="","",MAX(0,E118-F118-IF(I118="",0,E118-F118)))</f>
        <v/>
      </c>
      <c r="H118" s="7">
        <f>IF(A118="","",IF(I118&lt;&gt;"","Pagado",IF(D118&lt;TODAY(),"Vencido",IF(D118-TODAY()&lt;=7,"Próximo","Pendiente"))))</f>
        <v/>
      </c>
      <c r="I118" s="13" t="n"/>
    </row>
    <row r="119">
      <c r="D119" s="13" t="n"/>
      <c r="E119" s="14" t="n"/>
      <c r="F119" s="14" t="n"/>
      <c r="G119" s="7">
        <f>IF(E119="","",MAX(0,E119-F119-IF(I119="",0,E119-F119)))</f>
        <v/>
      </c>
      <c r="H119" s="7">
        <f>IF(A119="","",IF(I119&lt;&gt;"","Pagado",IF(D119&lt;TODAY(),"Vencido",IF(D119-TODAY()&lt;=7,"Próximo","Pendiente"))))</f>
        <v/>
      </c>
      <c r="I119" s="13" t="n"/>
    </row>
    <row r="120">
      <c r="D120" s="13" t="n"/>
      <c r="E120" s="14" t="n"/>
      <c r="F120" s="14" t="n"/>
      <c r="G120" s="7">
        <f>IF(E120="","",MAX(0,E120-F120-IF(I120="",0,E120-F120)))</f>
        <v/>
      </c>
      <c r="H120" s="7">
        <f>IF(A120="","",IF(I120&lt;&gt;"","Pagado",IF(D120&lt;TODAY(),"Vencido",IF(D120-TODAY()&lt;=7,"Próximo","Pendiente"))))</f>
        <v/>
      </c>
      <c r="I120" s="13" t="n"/>
    </row>
    <row r="121">
      <c r="D121" s="13" t="n"/>
      <c r="E121" s="14" t="n"/>
      <c r="F121" s="14" t="n"/>
      <c r="G121" s="7">
        <f>IF(E121="","",MAX(0,E121-F121-IF(I121="",0,E121-F121)))</f>
        <v/>
      </c>
      <c r="H121" s="7">
        <f>IF(A121="","",IF(I121&lt;&gt;"","Pagado",IF(D121&lt;TODAY(),"Vencido",IF(D121-TODAY()&lt;=7,"Próximo","Pendiente"))))</f>
        <v/>
      </c>
      <c r="I121" s="13" t="n"/>
    </row>
    <row r="122">
      <c r="D122" s="13" t="n"/>
      <c r="E122" s="14" t="n"/>
      <c r="F122" s="14" t="n"/>
      <c r="G122" s="7">
        <f>IF(E122="","",MAX(0,E122-F122-IF(I122="",0,E122-F122)))</f>
        <v/>
      </c>
      <c r="H122" s="7">
        <f>IF(A122="","",IF(I122&lt;&gt;"","Pagado",IF(D122&lt;TODAY(),"Vencido",IF(D122-TODAY()&lt;=7,"Próximo","Pendiente"))))</f>
        <v/>
      </c>
      <c r="I122" s="13" t="n"/>
    </row>
    <row r="123">
      <c r="D123" s="13" t="n"/>
      <c r="E123" s="14" t="n"/>
      <c r="F123" s="14" t="n"/>
      <c r="G123" s="7">
        <f>IF(E123="","",MAX(0,E123-F123-IF(I123="",0,E123-F123)))</f>
        <v/>
      </c>
      <c r="H123" s="7">
        <f>IF(A123="","",IF(I123&lt;&gt;"","Pagado",IF(D123&lt;TODAY(),"Vencido",IF(D123-TODAY()&lt;=7,"Próximo","Pendiente"))))</f>
        <v/>
      </c>
      <c r="I123" s="13" t="n"/>
    </row>
    <row r="124">
      <c r="D124" s="13" t="n"/>
      <c r="E124" s="14" t="n"/>
      <c r="F124" s="14" t="n"/>
      <c r="G124" s="7">
        <f>IF(E124="","",MAX(0,E124-F124-IF(I124="",0,E124-F124)))</f>
        <v/>
      </c>
      <c r="H124" s="7">
        <f>IF(A124="","",IF(I124&lt;&gt;"","Pagado",IF(D124&lt;TODAY(),"Vencido",IF(D124-TODAY()&lt;=7,"Próximo","Pendiente"))))</f>
        <v/>
      </c>
      <c r="I124" s="13" t="n"/>
    </row>
    <row r="125">
      <c r="D125" s="13" t="n"/>
      <c r="E125" s="14" t="n"/>
      <c r="F125" s="14" t="n"/>
      <c r="G125" s="7">
        <f>IF(E125="","",MAX(0,E125-F125-IF(I125="",0,E125-F125)))</f>
        <v/>
      </c>
      <c r="H125" s="7">
        <f>IF(A125="","",IF(I125&lt;&gt;"","Pagado",IF(D125&lt;TODAY(),"Vencido",IF(D125-TODAY()&lt;=7,"Próximo","Pendiente"))))</f>
        <v/>
      </c>
      <c r="I125" s="13" t="n"/>
    </row>
    <row r="126">
      <c r="D126" s="13" t="n"/>
      <c r="E126" s="14" t="n"/>
      <c r="F126" s="14" t="n"/>
      <c r="G126" s="7">
        <f>IF(E126="","",MAX(0,E126-F126-IF(I126="",0,E126-F126)))</f>
        <v/>
      </c>
      <c r="H126" s="7">
        <f>IF(A126="","",IF(I126&lt;&gt;"","Pagado",IF(D126&lt;TODAY(),"Vencido",IF(D126-TODAY()&lt;=7,"Próximo","Pendiente"))))</f>
        <v/>
      </c>
      <c r="I126" s="13" t="n"/>
    </row>
    <row r="127">
      <c r="D127" s="13" t="n"/>
      <c r="E127" s="14" t="n"/>
      <c r="F127" s="14" t="n"/>
      <c r="G127" s="7">
        <f>IF(E127="","",MAX(0,E127-F127-IF(I127="",0,E127-F127)))</f>
        <v/>
      </c>
      <c r="H127" s="7">
        <f>IF(A127="","",IF(I127&lt;&gt;"","Pagado",IF(D127&lt;TODAY(),"Vencido",IF(D127-TODAY()&lt;=7,"Próximo","Pendiente"))))</f>
        <v/>
      </c>
      <c r="I127" s="13" t="n"/>
    </row>
    <row r="128">
      <c r="D128" s="13" t="n"/>
      <c r="E128" s="14" t="n"/>
      <c r="F128" s="14" t="n"/>
      <c r="G128" s="7">
        <f>IF(E128="","",MAX(0,E128-F128-IF(I128="",0,E128-F128)))</f>
        <v/>
      </c>
      <c r="H128" s="7">
        <f>IF(A128="","",IF(I128&lt;&gt;"","Pagado",IF(D128&lt;TODAY(),"Vencido",IF(D128-TODAY()&lt;=7,"Próximo","Pendiente"))))</f>
        <v/>
      </c>
      <c r="I128" s="13" t="n"/>
    </row>
    <row r="129">
      <c r="D129" s="13" t="n"/>
      <c r="E129" s="14" t="n"/>
      <c r="F129" s="14" t="n"/>
      <c r="G129" s="7">
        <f>IF(E129="","",MAX(0,E129-F129-IF(I129="",0,E129-F129)))</f>
        <v/>
      </c>
      <c r="H129" s="7">
        <f>IF(A129="","",IF(I129&lt;&gt;"","Pagado",IF(D129&lt;TODAY(),"Vencido",IF(D129-TODAY()&lt;=7,"Próximo","Pendiente"))))</f>
        <v/>
      </c>
      <c r="I129" s="13" t="n"/>
    </row>
    <row r="130">
      <c r="D130" s="13" t="n"/>
      <c r="E130" s="14" t="n"/>
      <c r="F130" s="14" t="n"/>
      <c r="G130" s="7">
        <f>IF(E130="","",MAX(0,E130-F130-IF(I130="",0,E130-F130)))</f>
        <v/>
      </c>
      <c r="H130" s="7">
        <f>IF(A130="","",IF(I130&lt;&gt;"","Pagado",IF(D130&lt;TODAY(),"Vencido",IF(D130-TODAY()&lt;=7,"Próximo","Pendiente"))))</f>
        <v/>
      </c>
      <c r="I130" s="13" t="n"/>
    </row>
    <row r="131">
      <c r="D131" s="13" t="n"/>
      <c r="E131" s="14" t="n"/>
      <c r="F131" s="14" t="n"/>
      <c r="G131" s="7">
        <f>IF(E131="","",MAX(0,E131-F131-IF(I131="",0,E131-F131)))</f>
        <v/>
      </c>
      <c r="H131" s="7">
        <f>IF(A131="","",IF(I131&lt;&gt;"","Pagado",IF(D131&lt;TODAY(),"Vencido",IF(D131-TODAY()&lt;=7,"Próximo","Pendiente"))))</f>
        <v/>
      </c>
      <c r="I131" s="13" t="n"/>
    </row>
    <row r="132">
      <c r="D132" s="13" t="n"/>
      <c r="E132" s="14" t="n"/>
      <c r="F132" s="14" t="n"/>
      <c r="G132" s="7">
        <f>IF(E132="","",MAX(0,E132-F132-IF(I132="",0,E132-F132)))</f>
        <v/>
      </c>
      <c r="H132" s="7">
        <f>IF(A132="","",IF(I132&lt;&gt;"","Pagado",IF(D132&lt;TODAY(),"Vencido",IF(D132-TODAY()&lt;=7,"Próximo","Pendiente"))))</f>
        <v/>
      </c>
      <c r="I132" s="13" t="n"/>
    </row>
    <row r="133">
      <c r="D133" s="13" t="n"/>
      <c r="E133" s="14" t="n"/>
      <c r="F133" s="14" t="n"/>
      <c r="G133" s="7">
        <f>IF(E133="","",MAX(0,E133-F133-IF(I133="",0,E133-F133)))</f>
        <v/>
      </c>
      <c r="H133" s="7">
        <f>IF(A133="","",IF(I133&lt;&gt;"","Pagado",IF(D133&lt;TODAY(),"Vencido",IF(D133-TODAY()&lt;=7,"Próximo","Pendiente"))))</f>
        <v/>
      </c>
      <c r="I133" s="13" t="n"/>
    </row>
    <row r="134">
      <c r="D134" s="13" t="n"/>
      <c r="E134" s="14" t="n"/>
      <c r="F134" s="14" t="n"/>
      <c r="G134" s="7">
        <f>IF(E134="","",MAX(0,E134-F134-IF(I134="",0,E134-F134)))</f>
        <v/>
      </c>
      <c r="H134" s="7">
        <f>IF(A134="","",IF(I134&lt;&gt;"","Pagado",IF(D134&lt;TODAY(),"Vencido",IF(D134-TODAY()&lt;=7,"Próximo","Pendiente"))))</f>
        <v/>
      </c>
      <c r="I134" s="13" t="n"/>
    </row>
    <row r="135">
      <c r="D135" s="13" t="n"/>
      <c r="E135" s="14" t="n"/>
      <c r="F135" s="14" t="n"/>
      <c r="G135" s="7">
        <f>IF(E135="","",MAX(0,E135-F135-IF(I135="",0,E135-F135)))</f>
        <v/>
      </c>
      <c r="H135" s="7">
        <f>IF(A135="","",IF(I135&lt;&gt;"","Pagado",IF(D135&lt;TODAY(),"Vencido",IF(D135-TODAY()&lt;=7,"Próximo","Pendiente"))))</f>
        <v/>
      </c>
      <c r="I135" s="13" t="n"/>
    </row>
    <row r="136">
      <c r="D136" s="13" t="n"/>
      <c r="E136" s="14" t="n"/>
      <c r="F136" s="14" t="n"/>
      <c r="G136" s="7">
        <f>IF(E136="","",MAX(0,E136-F136-IF(I136="",0,E136-F136)))</f>
        <v/>
      </c>
      <c r="H136" s="7">
        <f>IF(A136="","",IF(I136&lt;&gt;"","Pagado",IF(D136&lt;TODAY(),"Vencido",IF(D136-TODAY()&lt;=7,"Próximo","Pendiente"))))</f>
        <v/>
      </c>
      <c r="I136" s="13" t="n"/>
    </row>
    <row r="137">
      <c r="D137" s="13" t="n"/>
      <c r="E137" s="14" t="n"/>
      <c r="F137" s="14" t="n"/>
      <c r="G137" s="7">
        <f>IF(E137="","",MAX(0,E137-F137-IF(I137="",0,E137-F137)))</f>
        <v/>
      </c>
      <c r="H137" s="7">
        <f>IF(A137="","",IF(I137&lt;&gt;"","Pagado",IF(D137&lt;TODAY(),"Vencido",IF(D137-TODAY()&lt;=7,"Próximo","Pendiente"))))</f>
        <v/>
      </c>
      <c r="I137" s="13" t="n"/>
    </row>
    <row r="138">
      <c r="D138" s="13" t="n"/>
      <c r="E138" s="14" t="n"/>
      <c r="F138" s="14" t="n"/>
      <c r="G138" s="7">
        <f>IF(E138="","",MAX(0,E138-F138-IF(I138="",0,E138-F138)))</f>
        <v/>
      </c>
      <c r="H138" s="7">
        <f>IF(A138="","",IF(I138&lt;&gt;"","Pagado",IF(D138&lt;TODAY(),"Vencido",IF(D138-TODAY()&lt;=7,"Próximo","Pendiente"))))</f>
        <v/>
      </c>
      <c r="I138" s="13" t="n"/>
    </row>
    <row r="139">
      <c r="D139" s="13" t="n"/>
      <c r="E139" s="14" t="n"/>
      <c r="F139" s="14" t="n"/>
      <c r="G139" s="7">
        <f>IF(E139="","",MAX(0,E139-F139-IF(I139="",0,E139-F139)))</f>
        <v/>
      </c>
      <c r="H139" s="7">
        <f>IF(A139="","",IF(I139&lt;&gt;"","Pagado",IF(D139&lt;TODAY(),"Vencido",IF(D139-TODAY()&lt;=7,"Próximo","Pendiente"))))</f>
        <v/>
      </c>
      <c r="I139" s="13" t="n"/>
    </row>
    <row r="140">
      <c r="D140" s="13" t="n"/>
      <c r="E140" s="14" t="n"/>
      <c r="F140" s="14" t="n"/>
      <c r="G140" s="7">
        <f>IF(E140="","",MAX(0,E140-F140-IF(I140="",0,E140-F140)))</f>
        <v/>
      </c>
      <c r="H140" s="7">
        <f>IF(A140="","",IF(I140&lt;&gt;"","Pagado",IF(D140&lt;TODAY(),"Vencido",IF(D140-TODAY()&lt;=7,"Próximo","Pendiente"))))</f>
        <v/>
      </c>
      <c r="I140" s="13" t="n"/>
    </row>
    <row r="141">
      <c r="D141" s="13" t="n"/>
      <c r="E141" s="14" t="n"/>
      <c r="F141" s="14" t="n"/>
      <c r="G141" s="7">
        <f>IF(E141="","",MAX(0,E141-F141-IF(I141="",0,E141-F141)))</f>
        <v/>
      </c>
      <c r="H141" s="7">
        <f>IF(A141="","",IF(I141&lt;&gt;"","Pagado",IF(D141&lt;TODAY(),"Vencido",IF(D141-TODAY()&lt;=7,"Próximo","Pendiente"))))</f>
        <v/>
      </c>
      <c r="I141" s="13" t="n"/>
    </row>
    <row r="142">
      <c r="D142" s="13" t="n"/>
      <c r="E142" s="14" t="n"/>
      <c r="F142" s="14" t="n"/>
      <c r="G142" s="7">
        <f>IF(E142="","",MAX(0,E142-F142-IF(I142="",0,E142-F142)))</f>
        <v/>
      </c>
      <c r="H142" s="7">
        <f>IF(A142="","",IF(I142&lt;&gt;"","Pagado",IF(D142&lt;TODAY(),"Vencido",IF(D142-TODAY()&lt;=7,"Próximo","Pendiente"))))</f>
        <v/>
      </c>
      <c r="I142" s="13" t="n"/>
    </row>
    <row r="143">
      <c r="D143" s="13" t="n"/>
      <c r="E143" s="14" t="n"/>
      <c r="F143" s="14" t="n"/>
      <c r="G143" s="7">
        <f>IF(E143="","",MAX(0,E143-F143-IF(I143="",0,E143-F143)))</f>
        <v/>
      </c>
      <c r="H143" s="7">
        <f>IF(A143="","",IF(I143&lt;&gt;"","Pagado",IF(D143&lt;TODAY(),"Vencido",IF(D143-TODAY()&lt;=7,"Próximo","Pendiente"))))</f>
        <v/>
      </c>
      <c r="I143" s="13" t="n"/>
    </row>
    <row r="144">
      <c r="D144" s="13" t="n"/>
      <c r="E144" s="14" t="n"/>
      <c r="F144" s="14" t="n"/>
      <c r="G144" s="7">
        <f>IF(E144="","",MAX(0,E144-F144-IF(I144="",0,E144-F144)))</f>
        <v/>
      </c>
      <c r="H144" s="7">
        <f>IF(A144="","",IF(I144&lt;&gt;"","Pagado",IF(D144&lt;TODAY(),"Vencido",IF(D144-TODAY()&lt;=7,"Próximo","Pendiente"))))</f>
        <v/>
      </c>
      <c r="I144" s="13" t="n"/>
    </row>
    <row r="145">
      <c r="D145" s="13" t="n"/>
      <c r="E145" s="14" t="n"/>
      <c r="F145" s="14" t="n"/>
      <c r="G145" s="7">
        <f>IF(E145="","",MAX(0,E145-F145-IF(I145="",0,E145-F145)))</f>
        <v/>
      </c>
      <c r="H145" s="7">
        <f>IF(A145="","",IF(I145&lt;&gt;"","Pagado",IF(D145&lt;TODAY(),"Vencido",IF(D145-TODAY()&lt;=7,"Próximo","Pendiente"))))</f>
        <v/>
      </c>
      <c r="I145" s="13" t="n"/>
    </row>
    <row r="146">
      <c r="D146" s="13" t="n"/>
      <c r="E146" s="14" t="n"/>
      <c r="F146" s="14" t="n"/>
      <c r="G146" s="7">
        <f>IF(E146="","",MAX(0,E146-F146-IF(I146="",0,E146-F146)))</f>
        <v/>
      </c>
      <c r="H146" s="7">
        <f>IF(A146="","",IF(I146&lt;&gt;"","Pagado",IF(D146&lt;TODAY(),"Vencido",IF(D146-TODAY()&lt;=7,"Próximo","Pendiente"))))</f>
        <v/>
      </c>
      <c r="I146" s="13" t="n"/>
    </row>
    <row r="147">
      <c r="D147" s="13" t="n"/>
      <c r="E147" s="14" t="n"/>
      <c r="F147" s="14" t="n"/>
      <c r="G147" s="7">
        <f>IF(E147="","",MAX(0,E147-F147-IF(I147="",0,E147-F147)))</f>
        <v/>
      </c>
      <c r="H147" s="7">
        <f>IF(A147="","",IF(I147&lt;&gt;"","Pagado",IF(D147&lt;TODAY(),"Vencido",IF(D147-TODAY()&lt;=7,"Próximo","Pendiente"))))</f>
        <v/>
      </c>
      <c r="I147" s="13" t="n"/>
    </row>
    <row r="148">
      <c r="D148" s="13" t="n"/>
      <c r="E148" s="14" t="n"/>
      <c r="F148" s="14" t="n"/>
      <c r="G148" s="7">
        <f>IF(E148="","",MAX(0,E148-F148-IF(I148="",0,E148-F148)))</f>
        <v/>
      </c>
      <c r="H148" s="7">
        <f>IF(A148="","",IF(I148&lt;&gt;"","Pagado",IF(D148&lt;TODAY(),"Vencido",IF(D148-TODAY()&lt;=7,"Próximo","Pendiente"))))</f>
        <v/>
      </c>
      <c r="I148" s="13" t="n"/>
    </row>
    <row r="149">
      <c r="D149" s="13" t="n"/>
      <c r="E149" s="14" t="n"/>
      <c r="F149" s="14" t="n"/>
      <c r="G149" s="7">
        <f>IF(E149="","",MAX(0,E149-F149-IF(I149="",0,E149-F149)))</f>
        <v/>
      </c>
      <c r="H149" s="7">
        <f>IF(A149="","",IF(I149&lt;&gt;"","Pagado",IF(D149&lt;TODAY(),"Vencido",IF(D149-TODAY()&lt;=7,"Próximo","Pendiente"))))</f>
        <v/>
      </c>
      <c r="I149" s="13" t="n"/>
    </row>
    <row r="150">
      <c r="D150" s="13" t="n"/>
      <c r="E150" s="14" t="n"/>
      <c r="F150" s="14" t="n"/>
      <c r="G150" s="7">
        <f>IF(E150="","",MAX(0,E150-F150-IF(I150="",0,E150-F150)))</f>
        <v/>
      </c>
      <c r="H150" s="7">
        <f>IF(A150="","",IF(I150&lt;&gt;"","Pagado",IF(D150&lt;TODAY(),"Vencido",IF(D150-TODAY()&lt;=7,"Próximo","Pendiente"))))</f>
        <v/>
      </c>
      <c r="I150" s="13" t="n"/>
    </row>
    <row r="151">
      <c r="D151" s="13" t="n"/>
      <c r="E151" s="14" t="n"/>
      <c r="F151" s="14" t="n"/>
      <c r="G151" s="7">
        <f>IF(E151="","",MAX(0,E151-F151-IF(I151="",0,E151-F151)))</f>
        <v/>
      </c>
      <c r="H151" s="7">
        <f>IF(A151="","",IF(I151&lt;&gt;"","Pagado",IF(D151&lt;TODAY(),"Vencido",IF(D151-TODAY()&lt;=7,"Próximo","Pendiente"))))</f>
        <v/>
      </c>
      <c r="I151" s="13" t="n"/>
    </row>
    <row r="152">
      <c r="D152" s="13" t="n"/>
      <c r="E152" s="14" t="n"/>
      <c r="F152" s="14" t="n"/>
      <c r="G152" s="7">
        <f>IF(E152="","",MAX(0,E152-F152-IF(I152="",0,E152-F152)))</f>
        <v/>
      </c>
      <c r="H152" s="7">
        <f>IF(A152="","",IF(I152&lt;&gt;"","Pagado",IF(D152&lt;TODAY(),"Vencido",IF(D152-TODAY()&lt;=7,"Próximo","Pendiente"))))</f>
        <v/>
      </c>
      <c r="I152" s="13" t="n"/>
    </row>
    <row r="153">
      <c r="D153" s="13" t="n"/>
      <c r="E153" s="14" t="n"/>
      <c r="F153" s="14" t="n"/>
      <c r="G153" s="7">
        <f>IF(E153="","",MAX(0,E153-F153-IF(I153="",0,E153-F153)))</f>
        <v/>
      </c>
      <c r="H153" s="7">
        <f>IF(A153="","",IF(I153&lt;&gt;"","Pagado",IF(D153&lt;TODAY(),"Vencido",IF(D153-TODAY()&lt;=7,"Próximo","Pendiente"))))</f>
        <v/>
      </c>
      <c r="I153" s="13" t="n"/>
    </row>
    <row r="154">
      <c r="D154" s="13" t="n"/>
      <c r="E154" s="14" t="n"/>
      <c r="F154" s="14" t="n"/>
      <c r="G154" s="7">
        <f>IF(E154="","",MAX(0,E154-F154-IF(I154="",0,E154-F154)))</f>
        <v/>
      </c>
      <c r="H154" s="7">
        <f>IF(A154="","",IF(I154&lt;&gt;"","Pagado",IF(D154&lt;TODAY(),"Vencido",IF(D154-TODAY()&lt;=7,"Próximo","Pendiente"))))</f>
        <v/>
      </c>
      <c r="I154" s="13" t="n"/>
    </row>
    <row r="155">
      <c r="D155" s="13" t="n"/>
      <c r="E155" s="14" t="n"/>
      <c r="F155" s="14" t="n"/>
      <c r="G155" s="7">
        <f>IF(E155="","",MAX(0,E155-F155-IF(I155="",0,E155-F155)))</f>
        <v/>
      </c>
      <c r="H155" s="7">
        <f>IF(A155="","",IF(I155&lt;&gt;"","Pagado",IF(D155&lt;TODAY(),"Vencido",IF(D155-TODAY()&lt;=7,"Próximo","Pendiente"))))</f>
        <v/>
      </c>
      <c r="I155" s="13" t="n"/>
    </row>
    <row r="156">
      <c r="D156" s="13" t="n"/>
      <c r="E156" s="14" t="n"/>
      <c r="F156" s="14" t="n"/>
      <c r="G156" s="7">
        <f>IF(E156="","",MAX(0,E156-F156-IF(I156="",0,E156-F156)))</f>
        <v/>
      </c>
      <c r="H156" s="7">
        <f>IF(A156="","",IF(I156&lt;&gt;"","Pagado",IF(D156&lt;TODAY(),"Vencido",IF(D156-TODAY()&lt;=7,"Próximo","Pendiente"))))</f>
        <v/>
      </c>
      <c r="I156" s="13" t="n"/>
    </row>
    <row r="157">
      <c r="D157" s="13" t="n"/>
      <c r="E157" s="14" t="n"/>
      <c r="F157" s="14" t="n"/>
      <c r="G157" s="7">
        <f>IF(E157="","",MAX(0,E157-F157-IF(I157="",0,E157-F157)))</f>
        <v/>
      </c>
      <c r="H157" s="7">
        <f>IF(A157="","",IF(I157&lt;&gt;"","Pagado",IF(D157&lt;TODAY(),"Vencido",IF(D157-TODAY()&lt;=7,"Próximo","Pendiente"))))</f>
        <v/>
      </c>
      <c r="I157" s="13" t="n"/>
    </row>
    <row r="158">
      <c r="D158" s="13" t="n"/>
      <c r="E158" s="14" t="n"/>
      <c r="F158" s="14" t="n"/>
      <c r="G158" s="7">
        <f>IF(E158="","",MAX(0,E158-F158-IF(I158="",0,E158-F158)))</f>
        <v/>
      </c>
      <c r="H158" s="7">
        <f>IF(A158="","",IF(I158&lt;&gt;"","Pagado",IF(D158&lt;TODAY(),"Vencido",IF(D158-TODAY()&lt;=7,"Próximo","Pendiente"))))</f>
        <v/>
      </c>
      <c r="I158" s="13" t="n"/>
    </row>
    <row r="159">
      <c r="D159" s="13" t="n"/>
      <c r="E159" s="14" t="n"/>
      <c r="F159" s="14" t="n"/>
      <c r="G159" s="7">
        <f>IF(E159="","",MAX(0,E159-F159-IF(I159="",0,E159-F159)))</f>
        <v/>
      </c>
      <c r="H159" s="7">
        <f>IF(A159="","",IF(I159&lt;&gt;"","Pagado",IF(D159&lt;TODAY(),"Vencido",IF(D159-TODAY()&lt;=7,"Próximo","Pendiente"))))</f>
        <v/>
      </c>
      <c r="I159" s="13" t="n"/>
    </row>
    <row r="160">
      <c r="D160" s="13" t="n"/>
      <c r="E160" s="14" t="n"/>
      <c r="F160" s="14" t="n"/>
      <c r="G160" s="7">
        <f>IF(E160="","",MAX(0,E160-F160-IF(I160="",0,E160-F160)))</f>
        <v/>
      </c>
      <c r="H160" s="7">
        <f>IF(A160="","",IF(I160&lt;&gt;"","Pagado",IF(D160&lt;TODAY(),"Vencido",IF(D160-TODAY()&lt;=7,"Próximo","Pendiente"))))</f>
        <v/>
      </c>
      <c r="I160" s="13" t="n"/>
    </row>
    <row r="161">
      <c r="D161" s="13" t="n"/>
      <c r="E161" s="14" t="n"/>
      <c r="F161" s="14" t="n"/>
      <c r="G161" s="7">
        <f>IF(E161="","",MAX(0,E161-F161-IF(I161="",0,E161-F161)))</f>
        <v/>
      </c>
      <c r="H161" s="7">
        <f>IF(A161="","",IF(I161&lt;&gt;"","Pagado",IF(D161&lt;TODAY(),"Vencido",IF(D161-TODAY()&lt;=7,"Próximo","Pendiente"))))</f>
        <v/>
      </c>
      <c r="I161" s="13" t="n"/>
    </row>
    <row r="162">
      <c r="D162" s="13" t="n"/>
      <c r="E162" s="14" t="n"/>
      <c r="F162" s="14" t="n"/>
      <c r="G162" s="7">
        <f>IF(E162="","",MAX(0,E162-F162-IF(I162="",0,E162-F162)))</f>
        <v/>
      </c>
      <c r="H162" s="7">
        <f>IF(A162="","",IF(I162&lt;&gt;"","Pagado",IF(D162&lt;TODAY(),"Vencido",IF(D162-TODAY()&lt;=7,"Próximo","Pendiente"))))</f>
        <v/>
      </c>
      <c r="I162" s="13" t="n"/>
    </row>
    <row r="163">
      <c r="D163" s="13" t="n"/>
      <c r="E163" s="14" t="n"/>
      <c r="F163" s="14" t="n"/>
      <c r="G163" s="7">
        <f>IF(E163="","",MAX(0,E163-F163-IF(I163="",0,E163-F163)))</f>
        <v/>
      </c>
      <c r="H163" s="7">
        <f>IF(A163="","",IF(I163&lt;&gt;"","Pagado",IF(D163&lt;TODAY(),"Vencido",IF(D163-TODAY()&lt;=7,"Próximo","Pendiente"))))</f>
        <v/>
      </c>
      <c r="I163" s="13" t="n"/>
    </row>
    <row r="164">
      <c r="D164" s="13" t="n"/>
      <c r="E164" s="14" t="n"/>
      <c r="F164" s="14" t="n"/>
      <c r="G164" s="7">
        <f>IF(E164="","",MAX(0,E164-F164-IF(I164="",0,E164-F164)))</f>
        <v/>
      </c>
      <c r="H164" s="7">
        <f>IF(A164="","",IF(I164&lt;&gt;"","Pagado",IF(D164&lt;TODAY(),"Vencido",IF(D164-TODAY()&lt;=7,"Próximo","Pendiente"))))</f>
        <v/>
      </c>
      <c r="I164" s="13" t="n"/>
    </row>
    <row r="165">
      <c r="D165" s="13" t="n"/>
      <c r="E165" s="14" t="n"/>
      <c r="F165" s="14" t="n"/>
      <c r="G165" s="7">
        <f>IF(E165="","",MAX(0,E165-F165-IF(I165="",0,E165-F165)))</f>
        <v/>
      </c>
      <c r="H165" s="7">
        <f>IF(A165="","",IF(I165&lt;&gt;"","Pagado",IF(D165&lt;TODAY(),"Vencido",IF(D165-TODAY()&lt;=7,"Próximo","Pendiente"))))</f>
        <v/>
      </c>
      <c r="I165" s="13" t="n"/>
    </row>
    <row r="166">
      <c r="D166" s="13" t="n"/>
      <c r="E166" s="14" t="n"/>
      <c r="F166" s="14" t="n"/>
      <c r="G166" s="7">
        <f>IF(E166="","",MAX(0,E166-F166-IF(I166="",0,E166-F166)))</f>
        <v/>
      </c>
      <c r="H166" s="7">
        <f>IF(A166="","",IF(I166&lt;&gt;"","Pagado",IF(D166&lt;TODAY(),"Vencido",IF(D166-TODAY()&lt;=7,"Próximo","Pendiente"))))</f>
        <v/>
      </c>
      <c r="I166" s="13" t="n"/>
    </row>
    <row r="167">
      <c r="D167" s="13" t="n"/>
      <c r="E167" s="14" t="n"/>
      <c r="F167" s="14" t="n"/>
      <c r="G167" s="7">
        <f>IF(E167="","",MAX(0,E167-F167-IF(I167="",0,E167-F167)))</f>
        <v/>
      </c>
      <c r="H167" s="7">
        <f>IF(A167="","",IF(I167&lt;&gt;"","Pagado",IF(D167&lt;TODAY(),"Vencido",IF(D167-TODAY()&lt;=7,"Próximo","Pendiente"))))</f>
        <v/>
      </c>
      <c r="I167" s="13" t="n"/>
    </row>
    <row r="168">
      <c r="D168" s="13" t="n"/>
      <c r="E168" s="14" t="n"/>
      <c r="F168" s="14" t="n"/>
      <c r="G168" s="7">
        <f>IF(E168="","",MAX(0,E168-F168-IF(I168="",0,E168-F168)))</f>
        <v/>
      </c>
      <c r="H168" s="7">
        <f>IF(A168="","",IF(I168&lt;&gt;"","Pagado",IF(D168&lt;TODAY(),"Vencido",IF(D168-TODAY()&lt;=7,"Próximo","Pendiente"))))</f>
        <v/>
      </c>
      <c r="I168" s="13" t="n"/>
    </row>
    <row r="169">
      <c r="D169" s="13" t="n"/>
      <c r="E169" s="14" t="n"/>
      <c r="F169" s="14" t="n"/>
      <c r="G169" s="7">
        <f>IF(E169="","",MAX(0,E169-F169-IF(I169="",0,E169-F169)))</f>
        <v/>
      </c>
      <c r="H169" s="7">
        <f>IF(A169="","",IF(I169&lt;&gt;"","Pagado",IF(D169&lt;TODAY(),"Vencido",IF(D169-TODAY()&lt;=7,"Próximo","Pendiente"))))</f>
        <v/>
      </c>
      <c r="I169" s="13" t="n"/>
    </row>
    <row r="170">
      <c r="D170" s="13" t="n"/>
      <c r="E170" s="14" t="n"/>
      <c r="F170" s="14" t="n"/>
      <c r="G170" s="7">
        <f>IF(E170="","",MAX(0,E170-F170-IF(I170="",0,E170-F170)))</f>
        <v/>
      </c>
      <c r="H170" s="7">
        <f>IF(A170="","",IF(I170&lt;&gt;"","Pagado",IF(D170&lt;TODAY(),"Vencido",IF(D170-TODAY()&lt;=7,"Próximo","Pendiente"))))</f>
        <v/>
      </c>
      <c r="I170" s="13" t="n"/>
    </row>
    <row r="171">
      <c r="D171" s="13" t="n"/>
      <c r="E171" s="14" t="n"/>
      <c r="F171" s="14" t="n"/>
      <c r="G171" s="7">
        <f>IF(E171="","",MAX(0,E171-F171-IF(I171="",0,E171-F171)))</f>
        <v/>
      </c>
      <c r="H171" s="7">
        <f>IF(A171="","",IF(I171&lt;&gt;"","Pagado",IF(D171&lt;TODAY(),"Vencido",IF(D171-TODAY()&lt;=7,"Próximo","Pendiente"))))</f>
        <v/>
      </c>
      <c r="I171" s="13" t="n"/>
    </row>
    <row r="172">
      <c r="D172" s="13" t="n"/>
      <c r="E172" s="14" t="n"/>
      <c r="F172" s="14" t="n"/>
      <c r="G172" s="7">
        <f>IF(E172="","",MAX(0,E172-F172-IF(I172="",0,E172-F172)))</f>
        <v/>
      </c>
      <c r="H172" s="7">
        <f>IF(A172="","",IF(I172&lt;&gt;"","Pagado",IF(D172&lt;TODAY(),"Vencido",IF(D172-TODAY()&lt;=7,"Próximo","Pendiente"))))</f>
        <v/>
      </c>
      <c r="I172" s="13" t="n"/>
    </row>
    <row r="173">
      <c r="D173" s="13" t="n"/>
      <c r="E173" s="14" t="n"/>
      <c r="F173" s="14" t="n"/>
      <c r="G173" s="7">
        <f>IF(E173="","",MAX(0,E173-F173-IF(I173="",0,E173-F173)))</f>
        <v/>
      </c>
      <c r="H173" s="7">
        <f>IF(A173="","",IF(I173&lt;&gt;"","Pagado",IF(D173&lt;TODAY(),"Vencido",IF(D173-TODAY()&lt;=7,"Próximo","Pendiente"))))</f>
        <v/>
      </c>
      <c r="I173" s="13" t="n"/>
    </row>
    <row r="174">
      <c r="D174" s="13" t="n"/>
      <c r="E174" s="14" t="n"/>
      <c r="F174" s="14" t="n"/>
      <c r="G174" s="7">
        <f>IF(E174="","",MAX(0,E174-F174-IF(I174="",0,E174-F174)))</f>
        <v/>
      </c>
      <c r="H174" s="7">
        <f>IF(A174="","",IF(I174&lt;&gt;"","Pagado",IF(D174&lt;TODAY(),"Vencido",IF(D174-TODAY()&lt;=7,"Próximo","Pendiente"))))</f>
        <v/>
      </c>
      <c r="I174" s="13" t="n"/>
    </row>
    <row r="175">
      <c r="D175" s="13" t="n"/>
      <c r="E175" s="14" t="n"/>
      <c r="F175" s="14" t="n"/>
      <c r="G175" s="7">
        <f>IF(E175="","",MAX(0,E175-F175-IF(I175="",0,E175-F175)))</f>
        <v/>
      </c>
      <c r="H175" s="7">
        <f>IF(A175="","",IF(I175&lt;&gt;"","Pagado",IF(D175&lt;TODAY(),"Vencido",IF(D175-TODAY()&lt;=7,"Próximo","Pendiente"))))</f>
        <v/>
      </c>
      <c r="I175" s="13" t="n"/>
    </row>
    <row r="176">
      <c r="D176" s="13" t="n"/>
      <c r="E176" s="14" t="n"/>
      <c r="F176" s="14" t="n"/>
      <c r="G176" s="7">
        <f>IF(E176="","",MAX(0,E176-F176-IF(I176="",0,E176-F176)))</f>
        <v/>
      </c>
      <c r="H176" s="7">
        <f>IF(A176="","",IF(I176&lt;&gt;"","Pagado",IF(D176&lt;TODAY(),"Vencido",IF(D176-TODAY()&lt;=7,"Próximo","Pendiente"))))</f>
        <v/>
      </c>
      <c r="I176" s="13" t="n"/>
    </row>
    <row r="177">
      <c r="D177" s="13" t="n"/>
      <c r="E177" s="14" t="n"/>
      <c r="F177" s="14" t="n"/>
      <c r="G177" s="7">
        <f>IF(E177="","",MAX(0,E177-F177-IF(I177="",0,E177-F177)))</f>
        <v/>
      </c>
      <c r="H177" s="7">
        <f>IF(A177="","",IF(I177&lt;&gt;"","Pagado",IF(D177&lt;TODAY(),"Vencido",IF(D177-TODAY()&lt;=7,"Próximo","Pendiente"))))</f>
        <v/>
      </c>
      <c r="I177" s="13" t="n"/>
    </row>
    <row r="178">
      <c r="D178" s="13" t="n"/>
      <c r="E178" s="14" t="n"/>
      <c r="F178" s="14" t="n"/>
      <c r="G178" s="7">
        <f>IF(E178="","",MAX(0,E178-F178-IF(I178="",0,E178-F178)))</f>
        <v/>
      </c>
      <c r="H178" s="7">
        <f>IF(A178="","",IF(I178&lt;&gt;"","Pagado",IF(D178&lt;TODAY(),"Vencido",IF(D178-TODAY()&lt;=7,"Próximo","Pendiente"))))</f>
        <v/>
      </c>
      <c r="I178" s="13" t="n"/>
    </row>
    <row r="179">
      <c r="D179" s="13" t="n"/>
      <c r="E179" s="14" t="n"/>
      <c r="F179" s="14" t="n"/>
      <c r="G179" s="7">
        <f>IF(E179="","",MAX(0,E179-F179-IF(I179="",0,E179-F179)))</f>
        <v/>
      </c>
      <c r="H179" s="7">
        <f>IF(A179="","",IF(I179&lt;&gt;"","Pagado",IF(D179&lt;TODAY(),"Vencido",IF(D179-TODAY()&lt;=7,"Próximo","Pendiente"))))</f>
        <v/>
      </c>
      <c r="I179" s="13" t="n"/>
    </row>
    <row r="180">
      <c r="D180" s="13" t="n"/>
      <c r="E180" s="14" t="n"/>
      <c r="F180" s="14" t="n"/>
      <c r="G180" s="7">
        <f>IF(E180="","",MAX(0,E180-F180-IF(I180="",0,E180-F180)))</f>
        <v/>
      </c>
      <c r="H180" s="7">
        <f>IF(A180="","",IF(I180&lt;&gt;"","Pagado",IF(D180&lt;TODAY(),"Vencido",IF(D180-TODAY()&lt;=7,"Próximo","Pendiente"))))</f>
        <v/>
      </c>
      <c r="I180" s="13" t="n"/>
    </row>
    <row r="181">
      <c r="D181" s="13" t="n"/>
      <c r="E181" s="14" t="n"/>
      <c r="F181" s="14" t="n"/>
      <c r="G181" s="7">
        <f>IF(E181="","",MAX(0,E181-F181-IF(I181="",0,E181-F181)))</f>
        <v/>
      </c>
      <c r="H181" s="7">
        <f>IF(A181="","",IF(I181&lt;&gt;"","Pagado",IF(D181&lt;TODAY(),"Vencido",IF(D181-TODAY()&lt;=7,"Próximo","Pendiente"))))</f>
        <v/>
      </c>
      <c r="I181" s="13" t="n"/>
    </row>
    <row r="182">
      <c r="D182" s="13" t="n"/>
      <c r="E182" s="14" t="n"/>
      <c r="F182" s="14" t="n"/>
      <c r="G182" s="7">
        <f>IF(E182="","",MAX(0,E182-F182-IF(I182="",0,E182-F182)))</f>
        <v/>
      </c>
      <c r="H182" s="7">
        <f>IF(A182="","",IF(I182&lt;&gt;"","Pagado",IF(D182&lt;TODAY(),"Vencido",IF(D182-TODAY()&lt;=7,"Próximo","Pendiente"))))</f>
        <v/>
      </c>
      <c r="I182" s="13" t="n"/>
    </row>
    <row r="183">
      <c r="D183" s="13" t="n"/>
      <c r="E183" s="14" t="n"/>
      <c r="F183" s="14" t="n"/>
      <c r="G183" s="7">
        <f>IF(E183="","",MAX(0,E183-F183-IF(I183="",0,E183-F183)))</f>
        <v/>
      </c>
      <c r="H183" s="7">
        <f>IF(A183="","",IF(I183&lt;&gt;"","Pagado",IF(D183&lt;TODAY(),"Vencido",IF(D183-TODAY()&lt;=7,"Próximo","Pendiente"))))</f>
        <v/>
      </c>
      <c r="I183" s="13" t="n"/>
    </row>
    <row r="184">
      <c r="D184" s="13" t="n"/>
      <c r="E184" s="14" t="n"/>
      <c r="F184" s="14" t="n"/>
      <c r="G184" s="7">
        <f>IF(E184="","",MAX(0,E184-F184-IF(I184="",0,E184-F184)))</f>
        <v/>
      </c>
      <c r="H184" s="7">
        <f>IF(A184="","",IF(I184&lt;&gt;"","Pagado",IF(D184&lt;TODAY(),"Vencido",IF(D184-TODAY()&lt;=7,"Próximo","Pendiente"))))</f>
        <v/>
      </c>
      <c r="I184" s="13" t="n"/>
    </row>
    <row r="185">
      <c r="D185" s="13" t="n"/>
      <c r="E185" s="14" t="n"/>
      <c r="F185" s="14" t="n"/>
      <c r="G185" s="7">
        <f>IF(E185="","",MAX(0,E185-F185-IF(I185="",0,E185-F185)))</f>
        <v/>
      </c>
      <c r="H185" s="7">
        <f>IF(A185="","",IF(I185&lt;&gt;"","Pagado",IF(D185&lt;TODAY(),"Vencido",IF(D185-TODAY()&lt;=7,"Próximo","Pendiente"))))</f>
        <v/>
      </c>
      <c r="I185" s="13" t="n"/>
    </row>
    <row r="186">
      <c r="D186" s="13" t="n"/>
      <c r="E186" s="14" t="n"/>
      <c r="F186" s="14" t="n"/>
      <c r="G186" s="7">
        <f>IF(E186="","",MAX(0,E186-F186-IF(I186="",0,E186-F186)))</f>
        <v/>
      </c>
      <c r="H186" s="7">
        <f>IF(A186="","",IF(I186&lt;&gt;"","Pagado",IF(D186&lt;TODAY(),"Vencido",IF(D186-TODAY()&lt;=7,"Próximo","Pendiente"))))</f>
        <v/>
      </c>
      <c r="I186" s="13" t="n"/>
    </row>
    <row r="187">
      <c r="D187" s="13" t="n"/>
      <c r="E187" s="14" t="n"/>
      <c r="F187" s="14" t="n"/>
      <c r="G187" s="7">
        <f>IF(E187="","",MAX(0,E187-F187-IF(I187="",0,E187-F187)))</f>
        <v/>
      </c>
      <c r="H187" s="7">
        <f>IF(A187="","",IF(I187&lt;&gt;"","Pagado",IF(D187&lt;TODAY(),"Vencido",IF(D187-TODAY()&lt;=7,"Próximo","Pendiente"))))</f>
        <v/>
      </c>
      <c r="I187" s="13" t="n"/>
    </row>
    <row r="188">
      <c r="D188" s="13" t="n"/>
      <c r="E188" s="14" t="n"/>
      <c r="F188" s="14" t="n"/>
      <c r="G188" s="7">
        <f>IF(E188="","",MAX(0,E188-F188-IF(I188="",0,E188-F188)))</f>
        <v/>
      </c>
      <c r="H188" s="7">
        <f>IF(A188="","",IF(I188&lt;&gt;"","Pagado",IF(D188&lt;TODAY(),"Vencido",IF(D188-TODAY()&lt;=7,"Próximo","Pendiente"))))</f>
        <v/>
      </c>
      <c r="I188" s="13" t="n"/>
    </row>
    <row r="189">
      <c r="D189" s="13" t="n"/>
      <c r="E189" s="14" t="n"/>
      <c r="F189" s="14" t="n"/>
      <c r="G189" s="7">
        <f>IF(E189="","",MAX(0,E189-F189-IF(I189="",0,E189-F189)))</f>
        <v/>
      </c>
      <c r="H189" s="7">
        <f>IF(A189="","",IF(I189&lt;&gt;"","Pagado",IF(D189&lt;TODAY(),"Vencido",IF(D189-TODAY()&lt;=7,"Próximo","Pendiente"))))</f>
        <v/>
      </c>
      <c r="I189" s="13" t="n"/>
    </row>
    <row r="190">
      <c r="D190" s="13" t="n"/>
      <c r="E190" s="14" t="n"/>
      <c r="F190" s="14" t="n"/>
      <c r="G190" s="7">
        <f>IF(E190="","",MAX(0,E190-F190-IF(I190="",0,E190-F190)))</f>
        <v/>
      </c>
      <c r="H190" s="7">
        <f>IF(A190="","",IF(I190&lt;&gt;"","Pagado",IF(D190&lt;TODAY(),"Vencido",IF(D190-TODAY()&lt;=7,"Próximo","Pendiente"))))</f>
        <v/>
      </c>
      <c r="I190" s="13" t="n"/>
    </row>
    <row r="191">
      <c r="D191" s="13" t="n"/>
      <c r="E191" s="14" t="n"/>
      <c r="F191" s="14" t="n"/>
      <c r="G191" s="7">
        <f>IF(E191="","",MAX(0,E191-F191-IF(I191="",0,E191-F191)))</f>
        <v/>
      </c>
      <c r="H191" s="7">
        <f>IF(A191="","",IF(I191&lt;&gt;"","Pagado",IF(D191&lt;TODAY(),"Vencido",IF(D191-TODAY()&lt;=7,"Próximo","Pendiente"))))</f>
        <v/>
      </c>
      <c r="I191" s="13" t="n"/>
    </row>
    <row r="192">
      <c r="D192" s="13" t="n"/>
      <c r="E192" s="14" t="n"/>
      <c r="F192" s="14" t="n"/>
      <c r="G192" s="7">
        <f>IF(E192="","",MAX(0,E192-F192-IF(I192="",0,E192-F192)))</f>
        <v/>
      </c>
      <c r="H192" s="7">
        <f>IF(A192="","",IF(I192&lt;&gt;"","Pagado",IF(D192&lt;TODAY(),"Vencido",IF(D192-TODAY()&lt;=7,"Próximo","Pendiente"))))</f>
        <v/>
      </c>
      <c r="I192" s="13" t="n"/>
    </row>
    <row r="193">
      <c r="D193" s="13" t="n"/>
      <c r="E193" s="14" t="n"/>
      <c r="F193" s="14" t="n"/>
      <c r="G193" s="7">
        <f>IF(E193="","",MAX(0,E193-F193-IF(I193="",0,E193-F193)))</f>
        <v/>
      </c>
      <c r="H193" s="7">
        <f>IF(A193="","",IF(I193&lt;&gt;"","Pagado",IF(D193&lt;TODAY(),"Vencido",IF(D193-TODAY()&lt;=7,"Próximo","Pendiente"))))</f>
        <v/>
      </c>
      <c r="I193" s="13" t="n"/>
    </row>
    <row r="194">
      <c r="D194" s="13" t="n"/>
      <c r="E194" s="14" t="n"/>
      <c r="F194" s="14" t="n"/>
      <c r="G194" s="7">
        <f>IF(E194="","",MAX(0,E194-F194-IF(I194="",0,E194-F194)))</f>
        <v/>
      </c>
      <c r="H194" s="7">
        <f>IF(A194="","",IF(I194&lt;&gt;"","Pagado",IF(D194&lt;TODAY(),"Vencido",IF(D194-TODAY()&lt;=7,"Próximo","Pendiente"))))</f>
        <v/>
      </c>
      <c r="I194" s="13" t="n"/>
    </row>
    <row r="195">
      <c r="D195" s="13" t="n"/>
      <c r="E195" s="14" t="n"/>
      <c r="F195" s="14" t="n"/>
      <c r="G195" s="7">
        <f>IF(E195="","",MAX(0,E195-F195-IF(I195="",0,E195-F195)))</f>
        <v/>
      </c>
      <c r="H195" s="7">
        <f>IF(A195="","",IF(I195&lt;&gt;"","Pagado",IF(D195&lt;TODAY(),"Vencido",IF(D195-TODAY()&lt;=7,"Próximo","Pendiente"))))</f>
        <v/>
      </c>
      <c r="I195" s="13" t="n"/>
    </row>
    <row r="196">
      <c r="D196" s="13" t="n"/>
      <c r="E196" s="14" t="n"/>
      <c r="F196" s="14" t="n"/>
      <c r="G196" s="7">
        <f>IF(E196="","",MAX(0,E196-F196-IF(I196="",0,E196-F196)))</f>
        <v/>
      </c>
      <c r="H196" s="7">
        <f>IF(A196="","",IF(I196&lt;&gt;"","Pagado",IF(D196&lt;TODAY(),"Vencido",IF(D196-TODAY()&lt;=7,"Próximo","Pendiente"))))</f>
        <v/>
      </c>
      <c r="I196" s="13" t="n"/>
    </row>
    <row r="197">
      <c r="D197" s="13" t="n"/>
      <c r="E197" s="14" t="n"/>
      <c r="F197" s="14" t="n"/>
      <c r="G197" s="7">
        <f>IF(E197="","",MAX(0,E197-F197-IF(I197="",0,E197-F197)))</f>
        <v/>
      </c>
      <c r="H197" s="7">
        <f>IF(A197="","",IF(I197&lt;&gt;"","Pagado",IF(D197&lt;TODAY(),"Vencido",IF(D197-TODAY()&lt;=7,"Próximo","Pendiente"))))</f>
        <v/>
      </c>
      <c r="I197" s="13" t="n"/>
    </row>
    <row r="198">
      <c r="D198" s="13" t="n"/>
      <c r="E198" s="14" t="n"/>
      <c r="F198" s="14" t="n"/>
      <c r="G198" s="7">
        <f>IF(E198="","",MAX(0,E198-F198-IF(I198="",0,E198-F198)))</f>
        <v/>
      </c>
      <c r="H198" s="7">
        <f>IF(A198="","",IF(I198&lt;&gt;"","Pagado",IF(D198&lt;TODAY(),"Vencido",IF(D198-TODAY()&lt;=7,"Próximo","Pendiente"))))</f>
        <v/>
      </c>
      <c r="I198" s="13" t="n"/>
    </row>
    <row r="199">
      <c r="D199" s="13" t="n"/>
      <c r="E199" s="14" t="n"/>
      <c r="F199" s="14" t="n"/>
      <c r="G199" s="7">
        <f>IF(E199="","",MAX(0,E199-F199-IF(I199="",0,E199-F199)))</f>
        <v/>
      </c>
      <c r="H199" s="7">
        <f>IF(A199="","",IF(I199&lt;&gt;"","Pagado",IF(D199&lt;TODAY(),"Vencido",IF(D199-TODAY()&lt;=7,"Próximo","Pendiente"))))</f>
        <v/>
      </c>
      <c r="I199" s="13" t="n"/>
    </row>
    <row r="200">
      <c r="D200" s="13" t="n"/>
      <c r="E200" s="14" t="n"/>
      <c r="F200" s="14" t="n"/>
      <c r="G200" s="7">
        <f>IF(E200="","",MAX(0,E200-F200-IF(I200="",0,E200-F200)))</f>
        <v/>
      </c>
      <c r="H200" s="7">
        <f>IF(A200="","",IF(I200&lt;&gt;"","Pagado",IF(D200&lt;TODAY(),"Vencido",IF(D200-TODAY()&lt;=7,"Próximo","Pendiente"))))</f>
        <v/>
      </c>
      <c r="I200" s="13" t="n"/>
    </row>
    <row r="201">
      <c r="D201" s="13" t="n"/>
      <c r="E201" s="14" t="n"/>
      <c r="F201" s="14" t="n"/>
      <c r="G201" s="7">
        <f>IF(E201="","",MAX(0,E201-F201-IF(I201="",0,E201-F201)))</f>
        <v/>
      </c>
      <c r="H201" s="7">
        <f>IF(A201="","",IF(I201&lt;&gt;"","Pagado",IF(D201&lt;TODAY(),"Vencido",IF(D201-TODAY()&lt;=7,"Próximo","Pendiente"))))</f>
        <v/>
      </c>
      <c r="I201" s="13" t="n"/>
    </row>
    <row r="202">
      <c r="D202" s="13" t="n"/>
      <c r="E202" s="14" t="n"/>
      <c r="F202" s="14" t="n"/>
      <c r="G202" s="7">
        <f>IF(E202="","",MAX(0,E202-F202-IF(I202="",0,E202-F202)))</f>
        <v/>
      </c>
      <c r="H202" s="7">
        <f>IF(A202="","",IF(I202&lt;&gt;"","Pagado",IF(D202&lt;TODAY(),"Vencido",IF(D202-TODAY()&lt;=7,"Próximo","Pendiente"))))</f>
        <v/>
      </c>
      <c r="I202" s="13" t="n"/>
    </row>
    <row r="203">
      <c r="D203" s="13" t="n"/>
      <c r="E203" s="14" t="n"/>
      <c r="F203" s="14" t="n"/>
      <c r="G203" s="7">
        <f>IF(E203="","",MAX(0,E203-F203-IF(I203="",0,E203-F203)))</f>
        <v/>
      </c>
      <c r="H203" s="7">
        <f>IF(A203="","",IF(I203&lt;&gt;"","Pagado",IF(D203&lt;TODAY(),"Vencido",IF(D203-TODAY()&lt;=7,"Próximo","Pendiente"))))</f>
        <v/>
      </c>
      <c r="I203" s="13" t="n"/>
    </row>
  </sheetData>
  <autoFilter ref="A3:L203"/>
  <mergeCells count="2">
    <mergeCell ref="A2:L2"/>
    <mergeCell ref="A1:L1"/>
  </mergeCells>
  <conditionalFormatting sqref="H4:H203">
    <cfRule type="expression" priority="1" dxfId="0">
      <formula>$H4="Vencido"</formula>
    </cfRule>
    <cfRule type="expression" priority="2" dxfId="1">
      <formula>$H4="Pagado"</formula>
    </cfRule>
    <cfRule type="expression" priority="3" dxfId="2">
      <formula>$H4="Próximo"</formula>
    </cfRule>
  </conditionalFormatting>
  <dataValidations count="1">
    <dataValidation sqref="J4:J203" showDropDown="0" showInputMessage="0" showErrorMessage="0" allowBlank="1" type="list">
      <formula1>"Efectivo,Transferencia,Tarjeta,Otro"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25" customWidth="1" min="4" max="4"/>
    <col width="15" customWidth="1" min="5" max="5"/>
    <col width="15" customWidth="1" min="6" max="6"/>
    <col width="18" customWidth="1" min="7" max="7"/>
    <col width="22" customWidth="1" min="8" max="8"/>
    <col width="20" customWidth="1" min="9" max="9"/>
    <col width="22" customWidth="1" min="10" max="10"/>
    <col width="35" customWidth="1" min="11" max="11"/>
  </cols>
  <sheetData>
    <row r="1" ht="32" customHeight="1">
      <c r="A1" s="1" t="inlineStr">
        <is>
          <t>PAGOS · Historial de cobros</t>
        </is>
      </c>
    </row>
    <row r="2">
      <c r="A2" s="8" t="inlineStr">
        <is>
          <t>Una fila = un cobro. Se recomienda registrar todos los pagos aunque correspondan a una mensualidad.</t>
        </is>
      </c>
    </row>
    <row r="3">
      <c r="A3" s="9" t="inlineStr">
        <is>
          <t>ID Pago</t>
        </is>
      </c>
      <c r="B3" s="9" t="inlineStr">
        <is>
          <t>Fecha</t>
        </is>
      </c>
      <c r="C3" s="9" t="inlineStr">
        <is>
          <t>Matrícula</t>
        </is>
      </c>
      <c r="D3" s="9" t="inlineStr">
        <is>
          <t>Concepto</t>
        </is>
      </c>
      <c r="E3" s="9" t="inlineStr">
        <is>
          <t>Periodo</t>
        </is>
      </c>
      <c r="F3" s="9" t="inlineStr">
        <is>
          <t>Monto</t>
        </is>
      </c>
      <c r="G3" s="9" t="inlineStr">
        <is>
          <t>Método</t>
        </is>
      </c>
      <c r="H3" s="9" t="inlineStr">
        <is>
          <t>Referencia</t>
        </is>
      </c>
      <c r="I3" s="9" t="inlineStr">
        <is>
          <t>Recibo</t>
        </is>
      </c>
      <c r="J3" s="9" t="inlineStr">
        <is>
          <t>Recibió</t>
        </is>
      </c>
      <c r="K3" s="9" t="inlineStr">
        <is>
          <t>Observaciones</t>
        </is>
      </c>
    </row>
    <row r="4">
      <c r="B4" s="13" t="n"/>
      <c r="F4" s="14" t="n"/>
    </row>
    <row r="5">
      <c r="B5" s="13" t="n"/>
      <c r="F5" s="14" t="n"/>
    </row>
    <row r="6">
      <c r="B6" s="13" t="n"/>
      <c r="F6" s="14" t="n"/>
    </row>
    <row r="7">
      <c r="B7" s="13" t="n"/>
      <c r="F7" s="14" t="n"/>
    </row>
    <row r="8">
      <c r="B8" s="13" t="n"/>
      <c r="F8" s="14" t="n"/>
    </row>
    <row r="9">
      <c r="B9" s="13" t="n"/>
      <c r="F9" s="14" t="n"/>
    </row>
    <row r="10">
      <c r="B10" s="13" t="n"/>
      <c r="F10" s="14" t="n"/>
    </row>
    <row r="11">
      <c r="B11" s="13" t="n"/>
      <c r="F11" s="14" t="n"/>
    </row>
    <row r="12">
      <c r="B12" s="13" t="n"/>
      <c r="F12" s="14" t="n"/>
    </row>
    <row r="13">
      <c r="B13" s="13" t="n"/>
      <c r="F13" s="14" t="n"/>
    </row>
    <row r="14">
      <c r="B14" s="13" t="n"/>
      <c r="F14" s="14" t="n"/>
    </row>
    <row r="15">
      <c r="B15" s="13" t="n"/>
      <c r="F15" s="14" t="n"/>
    </row>
    <row r="16">
      <c r="B16" s="13" t="n"/>
      <c r="F16" s="14" t="n"/>
    </row>
    <row r="17">
      <c r="B17" s="13" t="n"/>
      <c r="F17" s="14" t="n"/>
    </row>
    <row r="18">
      <c r="B18" s="13" t="n"/>
      <c r="F18" s="14" t="n"/>
    </row>
    <row r="19">
      <c r="B19" s="13" t="n"/>
      <c r="F19" s="14" t="n"/>
    </row>
    <row r="20">
      <c r="B20" s="13" t="n"/>
      <c r="F20" s="14" t="n"/>
    </row>
    <row r="21">
      <c r="B21" s="13" t="n"/>
      <c r="F21" s="14" t="n"/>
    </row>
    <row r="22">
      <c r="B22" s="13" t="n"/>
      <c r="F22" s="14" t="n"/>
    </row>
    <row r="23">
      <c r="B23" s="13" t="n"/>
      <c r="F23" s="14" t="n"/>
    </row>
    <row r="24">
      <c r="B24" s="13" t="n"/>
      <c r="F24" s="14" t="n"/>
    </row>
    <row r="25">
      <c r="B25" s="13" t="n"/>
      <c r="F25" s="14" t="n"/>
    </row>
    <row r="26">
      <c r="B26" s="13" t="n"/>
      <c r="F26" s="14" t="n"/>
    </row>
    <row r="27">
      <c r="B27" s="13" t="n"/>
      <c r="F27" s="14" t="n"/>
    </row>
    <row r="28">
      <c r="B28" s="13" t="n"/>
      <c r="F28" s="14" t="n"/>
    </row>
    <row r="29">
      <c r="B29" s="13" t="n"/>
      <c r="F29" s="14" t="n"/>
    </row>
    <row r="30">
      <c r="B30" s="13" t="n"/>
      <c r="F30" s="14" t="n"/>
    </row>
    <row r="31">
      <c r="B31" s="13" t="n"/>
      <c r="F31" s="14" t="n"/>
    </row>
    <row r="32">
      <c r="B32" s="13" t="n"/>
      <c r="F32" s="14" t="n"/>
    </row>
    <row r="33">
      <c r="B33" s="13" t="n"/>
      <c r="F33" s="14" t="n"/>
    </row>
    <row r="34">
      <c r="B34" s="13" t="n"/>
      <c r="F34" s="14" t="n"/>
    </row>
    <row r="35">
      <c r="B35" s="13" t="n"/>
      <c r="F35" s="14" t="n"/>
    </row>
    <row r="36">
      <c r="B36" s="13" t="n"/>
      <c r="F36" s="14" t="n"/>
    </row>
    <row r="37">
      <c r="B37" s="13" t="n"/>
      <c r="F37" s="14" t="n"/>
    </row>
    <row r="38">
      <c r="B38" s="13" t="n"/>
      <c r="F38" s="14" t="n"/>
    </row>
    <row r="39">
      <c r="B39" s="13" t="n"/>
      <c r="F39" s="14" t="n"/>
    </row>
    <row r="40">
      <c r="B40" s="13" t="n"/>
      <c r="F40" s="14" t="n"/>
    </row>
    <row r="41">
      <c r="B41" s="13" t="n"/>
      <c r="F41" s="14" t="n"/>
    </row>
    <row r="42">
      <c r="B42" s="13" t="n"/>
      <c r="F42" s="14" t="n"/>
    </row>
    <row r="43">
      <c r="B43" s="13" t="n"/>
      <c r="F43" s="14" t="n"/>
    </row>
    <row r="44">
      <c r="B44" s="13" t="n"/>
      <c r="F44" s="14" t="n"/>
    </row>
    <row r="45">
      <c r="B45" s="13" t="n"/>
      <c r="F45" s="14" t="n"/>
    </row>
    <row r="46">
      <c r="B46" s="13" t="n"/>
      <c r="F46" s="14" t="n"/>
    </row>
    <row r="47">
      <c r="B47" s="13" t="n"/>
      <c r="F47" s="14" t="n"/>
    </row>
    <row r="48">
      <c r="B48" s="13" t="n"/>
      <c r="F48" s="14" t="n"/>
    </row>
    <row r="49">
      <c r="B49" s="13" t="n"/>
      <c r="F49" s="14" t="n"/>
    </row>
    <row r="50">
      <c r="B50" s="13" t="n"/>
      <c r="F50" s="14" t="n"/>
    </row>
    <row r="51">
      <c r="B51" s="13" t="n"/>
      <c r="F51" s="14" t="n"/>
    </row>
    <row r="52">
      <c r="B52" s="13" t="n"/>
      <c r="F52" s="14" t="n"/>
    </row>
    <row r="53">
      <c r="B53" s="13" t="n"/>
      <c r="F53" s="14" t="n"/>
    </row>
    <row r="54">
      <c r="B54" s="13" t="n"/>
      <c r="F54" s="14" t="n"/>
    </row>
    <row r="55">
      <c r="B55" s="13" t="n"/>
      <c r="F55" s="14" t="n"/>
    </row>
    <row r="56">
      <c r="B56" s="13" t="n"/>
      <c r="F56" s="14" t="n"/>
    </row>
    <row r="57">
      <c r="B57" s="13" t="n"/>
      <c r="F57" s="14" t="n"/>
    </row>
    <row r="58">
      <c r="B58" s="13" t="n"/>
      <c r="F58" s="14" t="n"/>
    </row>
    <row r="59">
      <c r="B59" s="13" t="n"/>
      <c r="F59" s="14" t="n"/>
    </row>
    <row r="60">
      <c r="B60" s="13" t="n"/>
      <c r="F60" s="14" t="n"/>
    </row>
    <row r="61">
      <c r="B61" s="13" t="n"/>
      <c r="F61" s="14" t="n"/>
    </row>
    <row r="62">
      <c r="B62" s="13" t="n"/>
      <c r="F62" s="14" t="n"/>
    </row>
    <row r="63">
      <c r="B63" s="13" t="n"/>
      <c r="F63" s="14" t="n"/>
    </row>
    <row r="64">
      <c r="B64" s="13" t="n"/>
      <c r="F64" s="14" t="n"/>
    </row>
    <row r="65">
      <c r="B65" s="13" t="n"/>
      <c r="F65" s="14" t="n"/>
    </row>
    <row r="66">
      <c r="B66" s="13" t="n"/>
      <c r="F66" s="14" t="n"/>
    </row>
    <row r="67">
      <c r="B67" s="13" t="n"/>
      <c r="F67" s="14" t="n"/>
    </row>
    <row r="68">
      <c r="B68" s="13" t="n"/>
      <c r="F68" s="14" t="n"/>
    </row>
    <row r="69">
      <c r="B69" s="13" t="n"/>
      <c r="F69" s="14" t="n"/>
    </row>
    <row r="70">
      <c r="B70" s="13" t="n"/>
      <c r="F70" s="14" t="n"/>
    </row>
    <row r="71">
      <c r="B71" s="13" t="n"/>
      <c r="F71" s="14" t="n"/>
    </row>
    <row r="72">
      <c r="B72" s="13" t="n"/>
      <c r="F72" s="14" t="n"/>
    </row>
    <row r="73">
      <c r="B73" s="13" t="n"/>
      <c r="F73" s="14" t="n"/>
    </row>
    <row r="74">
      <c r="B74" s="13" t="n"/>
      <c r="F74" s="14" t="n"/>
    </row>
    <row r="75">
      <c r="B75" s="13" t="n"/>
      <c r="F75" s="14" t="n"/>
    </row>
    <row r="76">
      <c r="B76" s="13" t="n"/>
      <c r="F76" s="14" t="n"/>
    </row>
    <row r="77">
      <c r="B77" s="13" t="n"/>
      <c r="F77" s="14" t="n"/>
    </row>
    <row r="78">
      <c r="B78" s="13" t="n"/>
      <c r="F78" s="14" t="n"/>
    </row>
    <row r="79">
      <c r="B79" s="13" t="n"/>
      <c r="F79" s="14" t="n"/>
    </row>
    <row r="80">
      <c r="B80" s="13" t="n"/>
      <c r="F80" s="14" t="n"/>
    </row>
    <row r="81">
      <c r="B81" s="13" t="n"/>
      <c r="F81" s="14" t="n"/>
    </row>
    <row r="82">
      <c r="B82" s="13" t="n"/>
      <c r="F82" s="14" t="n"/>
    </row>
    <row r="83">
      <c r="B83" s="13" t="n"/>
      <c r="F83" s="14" t="n"/>
    </row>
    <row r="84">
      <c r="B84" s="13" t="n"/>
      <c r="F84" s="14" t="n"/>
    </row>
    <row r="85">
      <c r="B85" s="13" t="n"/>
      <c r="F85" s="14" t="n"/>
    </row>
    <row r="86">
      <c r="B86" s="13" t="n"/>
      <c r="F86" s="14" t="n"/>
    </row>
    <row r="87">
      <c r="B87" s="13" t="n"/>
      <c r="F87" s="14" t="n"/>
    </row>
    <row r="88">
      <c r="B88" s="13" t="n"/>
      <c r="F88" s="14" t="n"/>
    </row>
    <row r="89">
      <c r="B89" s="13" t="n"/>
      <c r="F89" s="14" t="n"/>
    </row>
    <row r="90">
      <c r="B90" s="13" t="n"/>
      <c r="F90" s="14" t="n"/>
    </row>
    <row r="91">
      <c r="B91" s="13" t="n"/>
      <c r="F91" s="14" t="n"/>
    </row>
    <row r="92">
      <c r="B92" s="13" t="n"/>
      <c r="F92" s="14" t="n"/>
    </row>
    <row r="93">
      <c r="B93" s="13" t="n"/>
      <c r="F93" s="14" t="n"/>
    </row>
    <row r="94">
      <c r="B94" s="13" t="n"/>
      <c r="F94" s="14" t="n"/>
    </row>
    <row r="95">
      <c r="B95" s="13" t="n"/>
      <c r="F95" s="14" t="n"/>
    </row>
    <row r="96">
      <c r="B96" s="13" t="n"/>
      <c r="F96" s="14" t="n"/>
    </row>
    <row r="97">
      <c r="B97" s="13" t="n"/>
      <c r="F97" s="14" t="n"/>
    </row>
    <row r="98">
      <c r="B98" s="13" t="n"/>
      <c r="F98" s="14" t="n"/>
    </row>
    <row r="99">
      <c r="B99" s="13" t="n"/>
      <c r="F99" s="14" t="n"/>
    </row>
    <row r="100">
      <c r="B100" s="13" t="n"/>
      <c r="F100" s="14" t="n"/>
    </row>
    <row r="101">
      <c r="B101" s="13" t="n"/>
      <c r="F101" s="14" t="n"/>
    </row>
    <row r="102">
      <c r="B102" s="13" t="n"/>
      <c r="F102" s="14" t="n"/>
    </row>
    <row r="103">
      <c r="B103" s="13" t="n"/>
      <c r="F103" s="14" t="n"/>
    </row>
    <row r="104">
      <c r="B104" s="13" t="n"/>
      <c r="F104" s="14" t="n"/>
    </row>
    <row r="105">
      <c r="B105" s="13" t="n"/>
      <c r="F105" s="14" t="n"/>
    </row>
    <row r="106">
      <c r="B106" s="13" t="n"/>
      <c r="F106" s="14" t="n"/>
    </row>
    <row r="107">
      <c r="B107" s="13" t="n"/>
      <c r="F107" s="14" t="n"/>
    </row>
    <row r="108">
      <c r="B108" s="13" t="n"/>
      <c r="F108" s="14" t="n"/>
    </row>
    <row r="109">
      <c r="B109" s="13" t="n"/>
      <c r="F109" s="14" t="n"/>
    </row>
    <row r="110">
      <c r="B110" s="13" t="n"/>
      <c r="F110" s="14" t="n"/>
    </row>
    <row r="111">
      <c r="B111" s="13" t="n"/>
      <c r="F111" s="14" t="n"/>
    </row>
    <row r="112">
      <c r="B112" s="13" t="n"/>
      <c r="F112" s="14" t="n"/>
    </row>
    <row r="113">
      <c r="B113" s="13" t="n"/>
      <c r="F113" s="14" t="n"/>
    </row>
    <row r="114">
      <c r="B114" s="13" t="n"/>
      <c r="F114" s="14" t="n"/>
    </row>
    <row r="115">
      <c r="B115" s="13" t="n"/>
      <c r="F115" s="14" t="n"/>
    </row>
    <row r="116">
      <c r="B116" s="13" t="n"/>
      <c r="F116" s="14" t="n"/>
    </row>
    <row r="117">
      <c r="B117" s="13" t="n"/>
      <c r="F117" s="14" t="n"/>
    </row>
    <row r="118">
      <c r="B118" s="13" t="n"/>
      <c r="F118" s="14" t="n"/>
    </row>
    <row r="119">
      <c r="B119" s="13" t="n"/>
      <c r="F119" s="14" t="n"/>
    </row>
    <row r="120">
      <c r="B120" s="13" t="n"/>
      <c r="F120" s="14" t="n"/>
    </row>
    <row r="121">
      <c r="B121" s="13" t="n"/>
      <c r="F121" s="14" t="n"/>
    </row>
    <row r="122">
      <c r="B122" s="13" t="n"/>
      <c r="F122" s="14" t="n"/>
    </row>
    <row r="123">
      <c r="B123" s="13" t="n"/>
      <c r="F123" s="14" t="n"/>
    </row>
    <row r="124">
      <c r="B124" s="13" t="n"/>
      <c r="F124" s="14" t="n"/>
    </row>
    <row r="125">
      <c r="B125" s="13" t="n"/>
      <c r="F125" s="14" t="n"/>
    </row>
    <row r="126">
      <c r="B126" s="13" t="n"/>
      <c r="F126" s="14" t="n"/>
    </row>
    <row r="127">
      <c r="B127" s="13" t="n"/>
      <c r="F127" s="14" t="n"/>
    </row>
    <row r="128">
      <c r="B128" s="13" t="n"/>
      <c r="F128" s="14" t="n"/>
    </row>
    <row r="129">
      <c r="B129" s="13" t="n"/>
      <c r="F129" s="14" t="n"/>
    </row>
    <row r="130">
      <c r="B130" s="13" t="n"/>
      <c r="F130" s="14" t="n"/>
    </row>
    <row r="131">
      <c r="B131" s="13" t="n"/>
      <c r="F131" s="14" t="n"/>
    </row>
    <row r="132">
      <c r="B132" s="13" t="n"/>
      <c r="F132" s="14" t="n"/>
    </row>
    <row r="133">
      <c r="B133" s="13" t="n"/>
      <c r="F133" s="14" t="n"/>
    </row>
    <row r="134">
      <c r="B134" s="13" t="n"/>
      <c r="F134" s="14" t="n"/>
    </row>
    <row r="135">
      <c r="B135" s="13" t="n"/>
      <c r="F135" s="14" t="n"/>
    </row>
    <row r="136">
      <c r="B136" s="13" t="n"/>
      <c r="F136" s="14" t="n"/>
    </row>
    <row r="137">
      <c r="B137" s="13" t="n"/>
      <c r="F137" s="14" t="n"/>
    </row>
    <row r="138">
      <c r="B138" s="13" t="n"/>
      <c r="F138" s="14" t="n"/>
    </row>
    <row r="139">
      <c r="B139" s="13" t="n"/>
      <c r="F139" s="14" t="n"/>
    </row>
    <row r="140">
      <c r="B140" s="13" t="n"/>
      <c r="F140" s="14" t="n"/>
    </row>
    <row r="141">
      <c r="B141" s="13" t="n"/>
      <c r="F141" s="14" t="n"/>
    </row>
    <row r="142">
      <c r="B142" s="13" t="n"/>
      <c r="F142" s="14" t="n"/>
    </row>
    <row r="143">
      <c r="B143" s="13" t="n"/>
      <c r="F143" s="14" t="n"/>
    </row>
    <row r="144">
      <c r="B144" s="13" t="n"/>
      <c r="F144" s="14" t="n"/>
    </row>
    <row r="145">
      <c r="B145" s="13" t="n"/>
      <c r="F145" s="14" t="n"/>
    </row>
    <row r="146">
      <c r="B146" s="13" t="n"/>
      <c r="F146" s="14" t="n"/>
    </row>
    <row r="147">
      <c r="B147" s="13" t="n"/>
      <c r="F147" s="14" t="n"/>
    </row>
    <row r="148">
      <c r="B148" s="13" t="n"/>
      <c r="F148" s="14" t="n"/>
    </row>
    <row r="149">
      <c r="B149" s="13" t="n"/>
      <c r="F149" s="14" t="n"/>
    </row>
    <row r="150">
      <c r="B150" s="13" t="n"/>
      <c r="F150" s="14" t="n"/>
    </row>
    <row r="151">
      <c r="B151" s="13" t="n"/>
      <c r="F151" s="14" t="n"/>
    </row>
    <row r="152">
      <c r="B152" s="13" t="n"/>
      <c r="F152" s="14" t="n"/>
    </row>
    <row r="153">
      <c r="B153" s="13" t="n"/>
      <c r="F153" s="14" t="n"/>
    </row>
    <row r="154">
      <c r="B154" s="13" t="n"/>
      <c r="F154" s="14" t="n"/>
    </row>
    <row r="155">
      <c r="B155" s="13" t="n"/>
      <c r="F155" s="14" t="n"/>
    </row>
    <row r="156">
      <c r="B156" s="13" t="n"/>
      <c r="F156" s="14" t="n"/>
    </row>
    <row r="157">
      <c r="B157" s="13" t="n"/>
      <c r="F157" s="14" t="n"/>
    </row>
    <row r="158">
      <c r="B158" s="13" t="n"/>
      <c r="F158" s="14" t="n"/>
    </row>
    <row r="159">
      <c r="B159" s="13" t="n"/>
      <c r="F159" s="14" t="n"/>
    </row>
    <row r="160">
      <c r="B160" s="13" t="n"/>
      <c r="F160" s="14" t="n"/>
    </row>
    <row r="161">
      <c r="B161" s="13" t="n"/>
      <c r="F161" s="14" t="n"/>
    </row>
    <row r="162">
      <c r="B162" s="13" t="n"/>
      <c r="F162" s="14" t="n"/>
    </row>
    <row r="163">
      <c r="B163" s="13" t="n"/>
      <c r="F163" s="14" t="n"/>
    </row>
    <row r="164">
      <c r="B164" s="13" t="n"/>
      <c r="F164" s="14" t="n"/>
    </row>
    <row r="165">
      <c r="B165" s="13" t="n"/>
      <c r="F165" s="14" t="n"/>
    </row>
    <row r="166">
      <c r="B166" s="13" t="n"/>
      <c r="F166" s="14" t="n"/>
    </row>
    <row r="167">
      <c r="B167" s="13" t="n"/>
      <c r="F167" s="14" t="n"/>
    </row>
    <row r="168">
      <c r="B168" s="13" t="n"/>
      <c r="F168" s="14" t="n"/>
    </row>
    <row r="169">
      <c r="B169" s="13" t="n"/>
      <c r="F169" s="14" t="n"/>
    </row>
    <row r="170">
      <c r="B170" s="13" t="n"/>
      <c r="F170" s="14" t="n"/>
    </row>
    <row r="171">
      <c r="B171" s="13" t="n"/>
      <c r="F171" s="14" t="n"/>
    </row>
    <row r="172">
      <c r="B172" s="13" t="n"/>
      <c r="F172" s="14" t="n"/>
    </row>
    <row r="173">
      <c r="B173" s="13" t="n"/>
      <c r="F173" s="14" t="n"/>
    </row>
    <row r="174">
      <c r="B174" s="13" t="n"/>
      <c r="F174" s="14" t="n"/>
    </row>
    <row r="175">
      <c r="B175" s="13" t="n"/>
      <c r="F175" s="14" t="n"/>
    </row>
    <row r="176">
      <c r="B176" s="13" t="n"/>
      <c r="F176" s="14" t="n"/>
    </row>
    <row r="177">
      <c r="B177" s="13" t="n"/>
      <c r="F177" s="14" t="n"/>
    </row>
    <row r="178">
      <c r="B178" s="13" t="n"/>
      <c r="F178" s="14" t="n"/>
    </row>
    <row r="179">
      <c r="B179" s="13" t="n"/>
      <c r="F179" s="14" t="n"/>
    </row>
    <row r="180">
      <c r="B180" s="13" t="n"/>
      <c r="F180" s="14" t="n"/>
    </row>
    <row r="181">
      <c r="B181" s="13" t="n"/>
      <c r="F181" s="14" t="n"/>
    </row>
    <row r="182">
      <c r="B182" s="13" t="n"/>
      <c r="F182" s="14" t="n"/>
    </row>
    <row r="183">
      <c r="B183" s="13" t="n"/>
      <c r="F183" s="14" t="n"/>
    </row>
    <row r="184">
      <c r="B184" s="13" t="n"/>
      <c r="F184" s="14" t="n"/>
    </row>
    <row r="185">
      <c r="B185" s="13" t="n"/>
      <c r="F185" s="14" t="n"/>
    </row>
    <row r="186">
      <c r="B186" s="13" t="n"/>
      <c r="F186" s="14" t="n"/>
    </row>
    <row r="187">
      <c r="B187" s="13" t="n"/>
      <c r="F187" s="14" t="n"/>
    </row>
    <row r="188">
      <c r="B188" s="13" t="n"/>
      <c r="F188" s="14" t="n"/>
    </row>
    <row r="189">
      <c r="B189" s="13" t="n"/>
      <c r="F189" s="14" t="n"/>
    </row>
    <row r="190">
      <c r="B190" s="13" t="n"/>
      <c r="F190" s="14" t="n"/>
    </row>
    <row r="191">
      <c r="B191" s="13" t="n"/>
      <c r="F191" s="14" t="n"/>
    </row>
    <row r="192">
      <c r="B192" s="13" t="n"/>
      <c r="F192" s="14" t="n"/>
    </row>
    <row r="193">
      <c r="B193" s="13" t="n"/>
      <c r="F193" s="14" t="n"/>
    </row>
    <row r="194">
      <c r="B194" s="13" t="n"/>
      <c r="F194" s="14" t="n"/>
    </row>
    <row r="195">
      <c r="B195" s="13" t="n"/>
      <c r="F195" s="14" t="n"/>
    </row>
    <row r="196">
      <c r="B196" s="13" t="n"/>
      <c r="F196" s="14" t="n"/>
    </row>
    <row r="197">
      <c r="B197" s="13" t="n"/>
      <c r="F197" s="14" t="n"/>
    </row>
    <row r="198">
      <c r="B198" s="13" t="n"/>
      <c r="F198" s="14" t="n"/>
    </row>
    <row r="199">
      <c r="B199" s="13" t="n"/>
      <c r="F199" s="14" t="n"/>
    </row>
    <row r="200">
      <c r="B200" s="13" t="n"/>
      <c r="F200" s="14" t="n"/>
    </row>
    <row r="201">
      <c r="B201" s="13" t="n"/>
      <c r="F201" s="14" t="n"/>
    </row>
    <row r="202">
      <c r="B202" s="13" t="n"/>
      <c r="F202" s="14" t="n"/>
    </row>
    <row r="203">
      <c r="B203" s="13" t="n"/>
      <c r="F203" s="14" t="n"/>
    </row>
  </sheetData>
  <autoFilter ref="A3:K203"/>
  <mergeCells count="2">
    <mergeCell ref="A2:K2"/>
    <mergeCell ref="A1:K1"/>
  </mergeCells>
  <dataValidations count="1">
    <dataValidation sqref="G4:G203" showDropDown="0" showInputMessage="0" showErrorMessage="0" allowBlank="1" type="list">
      <formula1>"Efectivo,Transferencia,Tarjeta,Otro"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30" customWidth="1" min="4" max="4"/>
    <col width="30" customWidth="1" min="5" max="5"/>
    <col width="15" customWidth="1" min="6" max="6"/>
    <col width="18" customWidth="1" min="7" max="7"/>
    <col width="35" customWidth="1" min="8" max="8"/>
  </cols>
  <sheetData>
    <row r="1" ht="32" customHeight="1">
      <c r="A1" s="1" t="inlineStr">
        <is>
          <t>RECIBOS</t>
        </is>
      </c>
    </row>
    <row r="2"/>
    <row r="3">
      <c r="A3" s="9" t="inlineStr">
        <is>
          <t>No. Recibo</t>
        </is>
      </c>
      <c r="B3" s="9" t="inlineStr">
        <is>
          <t>Fecha</t>
        </is>
      </c>
      <c r="C3" s="9" t="inlineStr">
        <is>
          <t>Matrícula</t>
        </is>
      </c>
      <c r="D3" s="9" t="inlineStr">
        <is>
          <t>Alumno</t>
        </is>
      </c>
      <c r="E3" s="9" t="inlineStr">
        <is>
          <t>Concepto</t>
        </is>
      </c>
      <c r="F3" s="9" t="inlineStr">
        <is>
          <t>Monto</t>
        </is>
      </c>
      <c r="G3" s="9" t="inlineStr">
        <is>
          <t>Método</t>
        </is>
      </c>
      <c r="H3" s="9" t="inlineStr">
        <is>
          <t>Observaciones</t>
        </is>
      </c>
    </row>
    <row r="4">
      <c r="B4" s="13" t="n"/>
      <c r="F4" s="14" t="n"/>
    </row>
    <row r="5">
      <c r="B5" s="13" t="n"/>
      <c r="F5" s="14" t="n"/>
    </row>
    <row r="6">
      <c r="B6" s="13" t="n"/>
      <c r="F6" s="14" t="n"/>
    </row>
    <row r="7">
      <c r="B7" s="13" t="n"/>
      <c r="F7" s="14" t="n"/>
    </row>
    <row r="8">
      <c r="B8" s="13" t="n"/>
      <c r="F8" s="14" t="n"/>
    </row>
    <row r="9">
      <c r="B9" s="13" t="n"/>
      <c r="F9" s="14" t="n"/>
    </row>
    <row r="10">
      <c r="B10" s="13" t="n"/>
      <c r="F10" s="14" t="n"/>
    </row>
    <row r="11">
      <c r="B11" s="13" t="n"/>
      <c r="F11" s="14" t="n"/>
    </row>
    <row r="12">
      <c r="B12" s="13" t="n"/>
      <c r="F12" s="14" t="n"/>
    </row>
    <row r="13">
      <c r="B13" s="13" t="n"/>
      <c r="F13" s="14" t="n"/>
    </row>
    <row r="14">
      <c r="B14" s="13" t="n"/>
      <c r="F14" s="14" t="n"/>
    </row>
    <row r="15">
      <c r="B15" s="13" t="n"/>
      <c r="F15" s="14" t="n"/>
    </row>
    <row r="16">
      <c r="B16" s="13" t="n"/>
      <c r="F16" s="14" t="n"/>
    </row>
    <row r="17">
      <c r="B17" s="13" t="n"/>
      <c r="F17" s="14" t="n"/>
    </row>
    <row r="18">
      <c r="B18" s="13" t="n"/>
      <c r="F18" s="14" t="n"/>
    </row>
    <row r="19">
      <c r="B19" s="13" t="n"/>
      <c r="F19" s="14" t="n"/>
    </row>
    <row r="20">
      <c r="B20" s="13" t="n"/>
      <c r="F20" s="14" t="n"/>
    </row>
    <row r="21">
      <c r="B21" s="13" t="n"/>
      <c r="F21" s="14" t="n"/>
    </row>
    <row r="22">
      <c r="B22" s="13" t="n"/>
      <c r="F22" s="14" t="n"/>
    </row>
    <row r="23">
      <c r="B23" s="13" t="n"/>
      <c r="F23" s="14" t="n"/>
    </row>
    <row r="24">
      <c r="B24" s="13" t="n"/>
      <c r="F24" s="14" t="n"/>
    </row>
    <row r="25">
      <c r="B25" s="13" t="n"/>
      <c r="F25" s="14" t="n"/>
    </row>
    <row r="26">
      <c r="B26" s="13" t="n"/>
      <c r="F26" s="14" t="n"/>
    </row>
    <row r="27">
      <c r="B27" s="13" t="n"/>
      <c r="F27" s="14" t="n"/>
    </row>
    <row r="28">
      <c r="B28" s="13" t="n"/>
      <c r="F28" s="14" t="n"/>
    </row>
    <row r="29">
      <c r="B29" s="13" t="n"/>
      <c r="F29" s="14" t="n"/>
    </row>
    <row r="30">
      <c r="B30" s="13" t="n"/>
      <c r="F30" s="14" t="n"/>
    </row>
    <row r="31">
      <c r="B31" s="13" t="n"/>
      <c r="F31" s="14" t="n"/>
    </row>
    <row r="32">
      <c r="B32" s="13" t="n"/>
      <c r="F32" s="14" t="n"/>
    </row>
    <row r="33">
      <c r="B33" s="13" t="n"/>
      <c r="F33" s="14" t="n"/>
    </row>
    <row r="34">
      <c r="B34" s="13" t="n"/>
      <c r="F34" s="14" t="n"/>
    </row>
    <row r="35">
      <c r="B35" s="13" t="n"/>
      <c r="F35" s="14" t="n"/>
    </row>
    <row r="36">
      <c r="B36" s="13" t="n"/>
      <c r="F36" s="14" t="n"/>
    </row>
    <row r="37">
      <c r="B37" s="13" t="n"/>
      <c r="F37" s="14" t="n"/>
    </row>
    <row r="38">
      <c r="B38" s="13" t="n"/>
      <c r="F38" s="14" t="n"/>
    </row>
    <row r="39">
      <c r="B39" s="13" t="n"/>
      <c r="F39" s="14" t="n"/>
    </row>
    <row r="40">
      <c r="B40" s="13" t="n"/>
      <c r="F40" s="14" t="n"/>
    </row>
    <row r="41">
      <c r="B41" s="13" t="n"/>
      <c r="F41" s="14" t="n"/>
    </row>
    <row r="42">
      <c r="B42" s="13" t="n"/>
      <c r="F42" s="14" t="n"/>
    </row>
    <row r="43">
      <c r="B43" s="13" t="n"/>
      <c r="F43" s="14" t="n"/>
    </row>
    <row r="44">
      <c r="B44" s="13" t="n"/>
      <c r="F44" s="14" t="n"/>
    </row>
    <row r="45">
      <c r="B45" s="13" t="n"/>
      <c r="F45" s="14" t="n"/>
    </row>
    <row r="46">
      <c r="B46" s="13" t="n"/>
      <c r="F46" s="14" t="n"/>
    </row>
    <row r="47">
      <c r="B47" s="13" t="n"/>
      <c r="F47" s="14" t="n"/>
    </row>
    <row r="48">
      <c r="B48" s="13" t="n"/>
      <c r="F48" s="14" t="n"/>
    </row>
    <row r="49">
      <c r="B49" s="13" t="n"/>
      <c r="F49" s="14" t="n"/>
    </row>
    <row r="50">
      <c r="B50" s="13" t="n"/>
      <c r="F50" s="14" t="n"/>
    </row>
    <row r="51">
      <c r="B51" s="13" t="n"/>
      <c r="F51" s="14" t="n"/>
    </row>
    <row r="52">
      <c r="B52" s="13" t="n"/>
      <c r="F52" s="14" t="n"/>
    </row>
    <row r="53">
      <c r="B53" s="13" t="n"/>
      <c r="F53" s="14" t="n"/>
    </row>
    <row r="54">
      <c r="B54" s="13" t="n"/>
      <c r="F54" s="14" t="n"/>
    </row>
    <row r="55">
      <c r="B55" s="13" t="n"/>
      <c r="F55" s="14" t="n"/>
    </row>
    <row r="56">
      <c r="B56" s="13" t="n"/>
      <c r="F56" s="14" t="n"/>
    </row>
    <row r="57">
      <c r="B57" s="13" t="n"/>
      <c r="F57" s="14" t="n"/>
    </row>
    <row r="58">
      <c r="B58" s="13" t="n"/>
      <c r="F58" s="14" t="n"/>
    </row>
    <row r="59">
      <c r="B59" s="13" t="n"/>
      <c r="F59" s="14" t="n"/>
    </row>
    <row r="60">
      <c r="B60" s="13" t="n"/>
      <c r="F60" s="14" t="n"/>
    </row>
    <row r="61">
      <c r="B61" s="13" t="n"/>
      <c r="F61" s="14" t="n"/>
    </row>
    <row r="62">
      <c r="B62" s="13" t="n"/>
      <c r="F62" s="14" t="n"/>
    </row>
    <row r="63">
      <c r="B63" s="13" t="n"/>
      <c r="F63" s="14" t="n"/>
    </row>
    <row r="64">
      <c r="B64" s="13" t="n"/>
      <c r="F64" s="14" t="n"/>
    </row>
    <row r="65">
      <c r="B65" s="13" t="n"/>
      <c r="F65" s="14" t="n"/>
    </row>
    <row r="66">
      <c r="B66" s="13" t="n"/>
      <c r="F66" s="14" t="n"/>
    </row>
    <row r="67">
      <c r="B67" s="13" t="n"/>
      <c r="F67" s="14" t="n"/>
    </row>
    <row r="68">
      <c r="B68" s="13" t="n"/>
      <c r="F68" s="14" t="n"/>
    </row>
    <row r="69">
      <c r="B69" s="13" t="n"/>
      <c r="F69" s="14" t="n"/>
    </row>
    <row r="70">
      <c r="B70" s="13" t="n"/>
      <c r="F70" s="14" t="n"/>
    </row>
    <row r="71">
      <c r="B71" s="13" t="n"/>
      <c r="F71" s="14" t="n"/>
    </row>
    <row r="72">
      <c r="B72" s="13" t="n"/>
      <c r="F72" s="14" t="n"/>
    </row>
    <row r="73">
      <c r="B73" s="13" t="n"/>
      <c r="F73" s="14" t="n"/>
    </row>
    <row r="74">
      <c r="B74" s="13" t="n"/>
      <c r="F74" s="14" t="n"/>
    </row>
    <row r="75">
      <c r="B75" s="13" t="n"/>
      <c r="F75" s="14" t="n"/>
    </row>
    <row r="76">
      <c r="B76" s="13" t="n"/>
      <c r="F76" s="14" t="n"/>
    </row>
    <row r="77">
      <c r="B77" s="13" t="n"/>
      <c r="F77" s="14" t="n"/>
    </row>
    <row r="78">
      <c r="B78" s="13" t="n"/>
      <c r="F78" s="14" t="n"/>
    </row>
    <row r="79">
      <c r="B79" s="13" t="n"/>
      <c r="F79" s="14" t="n"/>
    </row>
    <row r="80">
      <c r="B80" s="13" t="n"/>
      <c r="F80" s="14" t="n"/>
    </row>
    <row r="81">
      <c r="B81" s="13" t="n"/>
      <c r="F81" s="14" t="n"/>
    </row>
    <row r="82">
      <c r="B82" s="13" t="n"/>
      <c r="F82" s="14" t="n"/>
    </row>
    <row r="83">
      <c r="B83" s="13" t="n"/>
      <c r="F83" s="14" t="n"/>
    </row>
    <row r="84">
      <c r="B84" s="13" t="n"/>
      <c r="F84" s="14" t="n"/>
    </row>
    <row r="85">
      <c r="B85" s="13" t="n"/>
      <c r="F85" s="14" t="n"/>
    </row>
    <row r="86">
      <c r="B86" s="13" t="n"/>
      <c r="F86" s="14" t="n"/>
    </row>
    <row r="87">
      <c r="B87" s="13" t="n"/>
      <c r="F87" s="14" t="n"/>
    </row>
    <row r="88">
      <c r="B88" s="13" t="n"/>
      <c r="F88" s="14" t="n"/>
    </row>
    <row r="89">
      <c r="B89" s="13" t="n"/>
      <c r="F89" s="14" t="n"/>
    </row>
    <row r="90">
      <c r="B90" s="13" t="n"/>
      <c r="F90" s="14" t="n"/>
    </row>
    <row r="91">
      <c r="B91" s="13" t="n"/>
      <c r="F91" s="14" t="n"/>
    </row>
    <row r="92">
      <c r="B92" s="13" t="n"/>
      <c r="F92" s="14" t="n"/>
    </row>
    <row r="93">
      <c r="B93" s="13" t="n"/>
      <c r="F93" s="14" t="n"/>
    </row>
    <row r="94">
      <c r="B94" s="13" t="n"/>
      <c r="F94" s="14" t="n"/>
    </row>
    <row r="95">
      <c r="B95" s="13" t="n"/>
      <c r="F95" s="14" t="n"/>
    </row>
    <row r="96">
      <c r="B96" s="13" t="n"/>
      <c r="F96" s="14" t="n"/>
    </row>
    <row r="97">
      <c r="B97" s="13" t="n"/>
      <c r="F97" s="14" t="n"/>
    </row>
    <row r="98">
      <c r="B98" s="13" t="n"/>
      <c r="F98" s="14" t="n"/>
    </row>
    <row r="99">
      <c r="B99" s="13" t="n"/>
      <c r="F99" s="14" t="n"/>
    </row>
    <row r="100">
      <c r="B100" s="13" t="n"/>
      <c r="F100" s="14" t="n"/>
    </row>
    <row r="101">
      <c r="B101" s="13" t="n"/>
      <c r="F101" s="14" t="n"/>
    </row>
    <row r="102">
      <c r="B102" s="13" t="n"/>
      <c r="F102" s="14" t="n"/>
    </row>
    <row r="103">
      <c r="B103" s="13" t="n"/>
      <c r="F103" s="14" t="n"/>
    </row>
    <row r="104">
      <c r="B104" s="13" t="n"/>
      <c r="F104" s="14" t="n"/>
    </row>
    <row r="105">
      <c r="B105" s="13" t="n"/>
      <c r="F105" s="14" t="n"/>
    </row>
    <row r="106">
      <c r="B106" s="13" t="n"/>
      <c r="F106" s="14" t="n"/>
    </row>
    <row r="107">
      <c r="B107" s="13" t="n"/>
      <c r="F107" s="14" t="n"/>
    </row>
    <row r="108">
      <c r="B108" s="13" t="n"/>
      <c r="F108" s="14" t="n"/>
    </row>
    <row r="109">
      <c r="B109" s="13" t="n"/>
      <c r="F109" s="14" t="n"/>
    </row>
    <row r="110">
      <c r="B110" s="13" t="n"/>
      <c r="F110" s="14" t="n"/>
    </row>
    <row r="111">
      <c r="B111" s="13" t="n"/>
      <c r="F111" s="14" t="n"/>
    </row>
    <row r="112">
      <c r="B112" s="13" t="n"/>
      <c r="F112" s="14" t="n"/>
    </row>
    <row r="113">
      <c r="B113" s="13" t="n"/>
      <c r="F113" s="14" t="n"/>
    </row>
    <row r="114">
      <c r="B114" s="13" t="n"/>
      <c r="F114" s="14" t="n"/>
    </row>
    <row r="115">
      <c r="B115" s="13" t="n"/>
      <c r="F115" s="14" t="n"/>
    </row>
    <row r="116">
      <c r="B116" s="13" t="n"/>
      <c r="F116" s="14" t="n"/>
    </row>
    <row r="117">
      <c r="B117" s="13" t="n"/>
      <c r="F117" s="14" t="n"/>
    </row>
    <row r="118">
      <c r="B118" s="13" t="n"/>
      <c r="F118" s="14" t="n"/>
    </row>
    <row r="119">
      <c r="B119" s="13" t="n"/>
      <c r="F119" s="14" t="n"/>
    </row>
    <row r="120">
      <c r="B120" s="13" t="n"/>
      <c r="F120" s="14" t="n"/>
    </row>
    <row r="121">
      <c r="B121" s="13" t="n"/>
      <c r="F121" s="14" t="n"/>
    </row>
    <row r="122">
      <c r="B122" s="13" t="n"/>
      <c r="F122" s="14" t="n"/>
    </row>
    <row r="123">
      <c r="B123" s="13" t="n"/>
      <c r="F123" s="14" t="n"/>
    </row>
    <row r="124">
      <c r="B124" s="13" t="n"/>
      <c r="F124" s="14" t="n"/>
    </row>
    <row r="125">
      <c r="B125" s="13" t="n"/>
      <c r="F125" s="14" t="n"/>
    </row>
    <row r="126">
      <c r="B126" s="13" t="n"/>
      <c r="F126" s="14" t="n"/>
    </row>
    <row r="127">
      <c r="B127" s="13" t="n"/>
      <c r="F127" s="14" t="n"/>
    </row>
    <row r="128">
      <c r="B128" s="13" t="n"/>
      <c r="F128" s="14" t="n"/>
    </row>
    <row r="129">
      <c r="B129" s="13" t="n"/>
      <c r="F129" s="14" t="n"/>
    </row>
    <row r="130">
      <c r="B130" s="13" t="n"/>
      <c r="F130" s="14" t="n"/>
    </row>
    <row r="131">
      <c r="B131" s="13" t="n"/>
      <c r="F131" s="14" t="n"/>
    </row>
    <row r="132">
      <c r="B132" s="13" t="n"/>
      <c r="F132" s="14" t="n"/>
    </row>
    <row r="133">
      <c r="B133" s="13" t="n"/>
      <c r="F133" s="14" t="n"/>
    </row>
    <row r="134">
      <c r="B134" s="13" t="n"/>
      <c r="F134" s="14" t="n"/>
    </row>
    <row r="135">
      <c r="B135" s="13" t="n"/>
      <c r="F135" s="14" t="n"/>
    </row>
    <row r="136">
      <c r="B136" s="13" t="n"/>
      <c r="F136" s="14" t="n"/>
    </row>
    <row r="137">
      <c r="B137" s="13" t="n"/>
      <c r="F137" s="14" t="n"/>
    </row>
    <row r="138">
      <c r="B138" s="13" t="n"/>
      <c r="F138" s="14" t="n"/>
    </row>
    <row r="139">
      <c r="B139" s="13" t="n"/>
      <c r="F139" s="14" t="n"/>
    </row>
    <row r="140">
      <c r="B140" s="13" t="n"/>
      <c r="F140" s="14" t="n"/>
    </row>
    <row r="141">
      <c r="B141" s="13" t="n"/>
      <c r="F141" s="14" t="n"/>
    </row>
    <row r="142">
      <c r="B142" s="13" t="n"/>
      <c r="F142" s="14" t="n"/>
    </row>
    <row r="143">
      <c r="B143" s="13" t="n"/>
      <c r="F143" s="14" t="n"/>
    </row>
    <row r="144">
      <c r="B144" s="13" t="n"/>
      <c r="F144" s="14" t="n"/>
    </row>
    <row r="145">
      <c r="B145" s="13" t="n"/>
      <c r="F145" s="14" t="n"/>
    </row>
    <row r="146">
      <c r="B146" s="13" t="n"/>
      <c r="F146" s="14" t="n"/>
    </row>
    <row r="147">
      <c r="B147" s="13" t="n"/>
      <c r="F147" s="14" t="n"/>
    </row>
    <row r="148">
      <c r="B148" s="13" t="n"/>
      <c r="F148" s="14" t="n"/>
    </row>
    <row r="149">
      <c r="B149" s="13" t="n"/>
      <c r="F149" s="14" t="n"/>
    </row>
    <row r="150">
      <c r="B150" s="13" t="n"/>
      <c r="F150" s="14" t="n"/>
    </row>
    <row r="151">
      <c r="B151" s="13" t="n"/>
      <c r="F151" s="14" t="n"/>
    </row>
    <row r="152">
      <c r="B152" s="13" t="n"/>
      <c r="F152" s="14" t="n"/>
    </row>
    <row r="153">
      <c r="B153" s="13" t="n"/>
      <c r="F153" s="14" t="n"/>
    </row>
    <row r="154">
      <c r="B154" s="13" t="n"/>
      <c r="F154" s="14" t="n"/>
    </row>
    <row r="155">
      <c r="B155" s="13" t="n"/>
      <c r="F155" s="14" t="n"/>
    </row>
    <row r="156">
      <c r="B156" s="13" t="n"/>
      <c r="F156" s="14" t="n"/>
    </row>
    <row r="157">
      <c r="B157" s="13" t="n"/>
      <c r="F157" s="14" t="n"/>
    </row>
    <row r="158">
      <c r="B158" s="13" t="n"/>
      <c r="F158" s="14" t="n"/>
    </row>
    <row r="159">
      <c r="B159" s="13" t="n"/>
      <c r="F159" s="14" t="n"/>
    </row>
    <row r="160">
      <c r="B160" s="13" t="n"/>
      <c r="F160" s="14" t="n"/>
    </row>
    <row r="161">
      <c r="B161" s="13" t="n"/>
      <c r="F161" s="14" t="n"/>
    </row>
    <row r="162">
      <c r="B162" s="13" t="n"/>
      <c r="F162" s="14" t="n"/>
    </row>
    <row r="163">
      <c r="B163" s="13" t="n"/>
      <c r="F163" s="14" t="n"/>
    </row>
    <row r="164">
      <c r="B164" s="13" t="n"/>
      <c r="F164" s="14" t="n"/>
    </row>
    <row r="165">
      <c r="B165" s="13" t="n"/>
      <c r="F165" s="14" t="n"/>
    </row>
    <row r="166">
      <c r="B166" s="13" t="n"/>
      <c r="F166" s="14" t="n"/>
    </row>
    <row r="167">
      <c r="B167" s="13" t="n"/>
      <c r="F167" s="14" t="n"/>
    </row>
    <row r="168">
      <c r="B168" s="13" t="n"/>
      <c r="F168" s="14" t="n"/>
    </row>
    <row r="169">
      <c r="B169" s="13" t="n"/>
      <c r="F169" s="14" t="n"/>
    </row>
    <row r="170">
      <c r="B170" s="13" t="n"/>
      <c r="F170" s="14" t="n"/>
    </row>
    <row r="171">
      <c r="B171" s="13" t="n"/>
      <c r="F171" s="14" t="n"/>
    </row>
    <row r="172">
      <c r="B172" s="13" t="n"/>
      <c r="F172" s="14" t="n"/>
    </row>
    <row r="173">
      <c r="B173" s="13" t="n"/>
      <c r="F173" s="14" t="n"/>
    </row>
    <row r="174">
      <c r="B174" s="13" t="n"/>
      <c r="F174" s="14" t="n"/>
    </row>
    <row r="175">
      <c r="B175" s="13" t="n"/>
      <c r="F175" s="14" t="n"/>
    </row>
    <row r="176">
      <c r="B176" s="13" t="n"/>
      <c r="F176" s="14" t="n"/>
    </row>
    <row r="177">
      <c r="B177" s="13" t="n"/>
      <c r="F177" s="14" t="n"/>
    </row>
    <row r="178">
      <c r="B178" s="13" t="n"/>
      <c r="F178" s="14" t="n"/>
    </row>
    <row r="179">
      <c r="B179" s="13" t="n"/>
      <c r="F179" s="14" t="n"/>
    </row>
    <row r="180">
      <c r="B180" s="13" t="n"/>
      <c r="F180" s="14" t="n"/>
    </row>
    <row r="181">
      <c r="B181" s="13" t="n"/>
      <c r="F181" s="14" t="n"/>
    </row>
    <row r="182">
      <c r="B182" s="13" t="n"/>
      <c r="F182" s="14" t="n"/>
    </row>
    <row r="183">
      <c r="B183" s="13" t="n"/>
      <c r="F183" s="14" t="n"/>
    </row>
    <row r="184">
      <c r="B184" s="13" t="n"/>
      <c r="F184" s="14" t="n"/>
    </row>
    <row r="185">
      <c r="B185" s="13" t="n"/>
      <c r="F185" s="14" t="n"/>
    </row>
    <row r="186">
      <c r="B186" s="13" t="n"/>
      <c r="F186" s="14" t="n"/>
    </row>
    <row r="187">
      <c r="B187" s="13" t="n"/>
      <c r="F187" s="14" t="n"/>
    </row>
    <row r="188">
      <c r="B188" s="13" t="n"/>
      <c r="F188" s="14" t="n"/>
    </row>
    <row r="189">
      <c r="B189" s="13" t="n"/>
      <c r="F189" s="14" t="n"/>
    </row>
    <row r="190">
      <c r="B190" s="13" t="n"/>
      <c r="F190" s="14" t="n"/>
    </row>
    <row r="191">
      <c r="B191" s="13" t="n"/>
      <c r="F191" s="14" t="n"/>
    </row>
    <row r="192">
      <c r="B192" s="13" t="n"/>
      <c r="F192" s="14" t="n"/>
    </row>
    <row r="193">
      <c r="B193" s="13" t="n"/>
      <c r="F193" s="14" t="n"/>
    </row>
    <row r="194">
      <c r="B194" s="13" t="n"/>
      <c r="F194" s="14" t="n"/>
    </row>
    <row r="195">
      <c r="B195" s="13" t="n"/>
      <c r="F195" s="14" t="n"/>
    </row>
    <row r="196">
      <c r="B196" s="13" t="n"/>
      <c r="F196" s="14" t="n"/>
    </row>
    <row r="197">
      <c r="B197" s="13" t="n"/>
      <c r="F197" s="14" t="n"/>
    </row>
    <row r="198">
      <c r="B198" s="13" t="n"/>
      <c r="F198" s="14" t="n"/>
    </row>
    <row r="199">
      <c r="B199" s="13" t="n"/>
      <c r="F199" s="14" t="n"/>
    </row>
    <row r="200">
      <c r="B200" s="13" t="n"/>
      <c r="F200" s="14" t="n"/>
    </row>
    <row r="201">
      <c r="B201" s="13" t="n"/>
      <c r="F201" s="14" t="n"/>
    </row>
    <row r="202">
      <c r="B202" s="13" t="n"/>
      <c r="F202" s="14" t="n"/>
    </row>
    <row r="203">
      <c r="B203" s="13" t="n"/>
      <c r="F203" s="14" t="n"/>
    </row>
  </sheetData>
  <autoFilter ref="A3:H203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8" customWidth="1" min="9" max="9"/>
    <col width="15" customWidth="1" min="10" max="10"/>
    <col width="15" customWidth="1" min="11" max="11"/>
  </cols>
  <sheetData>
    <row r="1" ht="32" customHeight="1">
      <c r="A1" s="1" t="inlineStr">
        <is>
          <t>PROMOCIONES Y DESCUENTOS</t>
        </is>
      </c>
    </row>
    <row r="2"/>
    <row r="3">
      <c r="A3" s="9" t="inlineStr">
        <is>
          <t>ID Promo</t>
        </is>
      </c>
      <c r="B3" s="9" t="inlineStr">
        <is>
          <t>Nombre</t>
        </is>
      </c>
      <c r="C3" s="9" t="inlineStr">
        <is>
          <t>Tipo descuento</t>
        </is>
      </c>
      <c r="D3" s="9" t="inlineStr">
        <is>
          <t>Valor</t>
        </is>
      </c>
      <c r="E3" s="9" t="inlineStr">
        <is>
          <t>Fecha inicio</t>
        </is>
      </c>
      <c r="F3" s="9" t="inlineStr">
        <is>
          <t>Fecha fin</t>
        </is>
      </c>
      <c r="G3" s="9" t="inlineStr">
        <is>
          <t>Usos máximos</t>
        </is>
      </c>
      <c r="H3" s="9" t="inlineStr">
        <is>
          <t>Usos actuales</t>
        </is>
      </c>
      <c r="I3" s="9" t="inlineStr">
        <is>
          <t>Elegibles</t>
        </is>
      </c>
      <c r="J3" s="9" t="inlineStr">
        <is>
          <t>Combinable</t>
        </is>
      </c>
      <c r="K3" s="9" t="inlineStr">
        <is>
          <t>Estatus</t>
        </is>
      </c>
    </row>
    <row r="4">
      <c r="D4" s="16" t="n"/>
      <c r="E4" s="13" t="n"/>
      <c r="F4" s="13" t="n"/>
    </row>
    <row r="5">
      <c r="D5" s="16" t="n"/>
      <c r="E5" s="13" t="n"/>
      <c r="F5" s="13" t="n"/>
    </row>
    <row r="6">
      <c r="D6" s="16" t="n"/>
      <c r="E6" s="13" t="n"/>
      <c r="F6" s="13" t="n"/>
    </row>
    <row r="7">
      <c r="D7" s="16" t="n"/>
      <c r="E7" s="13" t="n"/>
      <c r="F7" s="13" t="n"/>
    </row>
    <row r="8">
      <c r="D8" s="16" t="n"/>
      <c r="E8" s="13" t="n"/>
      <c r="F8" s="13" t="n"/>
    </row>
    <row r="9">
      <c r="D9" s="16" t="n"/>
      <c r="E9" s="13" t="n"/>
      <c r="F9" s="13" t="n"/>
    </row>
    <row r="10">
      <c r="D10" s="16" t="n"/>
      <c r="E10" s="13" t="n"/>
      <c r="F10" s="13" t="n"/>
    </row>
    <row r="11">
      <c r="D11" s="16" t="n"/>
      <c r="E11" s="13" t="n"/>
      <c r="F11" s="13" t="n"/>
    </row>
    <row r="12">
      <c r="D12" s="16" t="n"/>
      <c r="E12" s="13" t="n"/>
      <c r="F12" s="13" t="n"/>
    </row>
    <row r="13">
      <c r="D13" s="16" t="n"/>
      <c r="E13" s="13" t="n"/>
      <c r="F13" s="13" t="n"/>
    </row>
    <row r="14">
      <c r="D14" s="16" t="n"/>
      <c r="E14" s="13" t="n"/>
      <c r="F14" s="13" t="n"/>
    </row>
    <row r="15">
      <c r="D15" s="16" t="n"/>
      <c r="E15" s="13" t="n"/>
      <c r="F15" s="13" t="n"/>
    </row>
    <row r="16">
      <c r="D16" s="16" t="n"/>
      <c r="E16" s="13" t="n"/>
      <c r="F16" s="13" t="n"/>
    </row>
    <row r="17">
      <c r="D17" s="16" t="n"/>
      <c r="E17" s="13" t="n"/>
      <c r="F17" s="13" t="n"/>
    </row>
    <row r="18">
      <c r="D18" s="16" t="n"/>
      <c r="E18" s="13" t="n"/>
      <c r="F18" s="13" t="n"/>
    </row>
    <row r="19">
      <c r="D19" s="16" t="n"/>
      <c r="E19" s="13" t="n"/>
      <c r="F19" s="13" t="n"/>
    </row>
    <row r="20">
      <c r="D20" s="16" t="n"/>
      <c r="E20" s="13" t="n"/>
      <c r="F20" s="13" t="n"/>
    </row>
    <row r="21">
      <c r="D21" s="16" t="n"/>
      <c r="E21" s="13" t="n"/>
      <c r="F21" s="13" t="n"/>
    </row>
    <row r="22">
      <c r="D22" s="16" t="n"/>
      <c r="E22" s="13" t="n"/>
      <c r="F22" s="13" t="n"/>
    </row>
    <row r="23">
      <c r="D23" s="16" t="n"/>
      <c r="E23" s="13" t="n"/>
      <c r="F23" s="13" t="n"/>
    </row>
    <row r="24">
      <c r="D24" s="16" t="n"/>
      <c r="E24" s="13" t="n"/>
      <c r="F24" s="13" t="n"/>
    </row>
    <row r="25">
      <c r="D25" s="16" t="n"/>
      <c r="E25" s="13" t="n"/>
      <c r="F25" s="13" t="n"/>
    </row>
    <row r="26">
      <c r="D26" s="16" t="n"/>
      <c r="E26" s="13" t="n"/>
      <c r="F26" s="13" t="n"/>
    </row>
    <row r="27">
      <c r="D27" s="16" t="n"/>
      <c r="E27" s="13" t="n"/>
      <c r="F27" s="13" t="n"/>
    </row>
    <row r="28">
      <c r="D28" s="16" t="n"/>
      <c r="E28" s="13" t="n"/>
      <c r="F28" s="13" t="n"/>
    </row>
    <row r="29">
      <c r="D29" s="16" t="n"/>
      <c r="E29" s="13" t="n"/>
      <c r="F29" s="13" t="n"/>
    </row>
    <row r="30">
      <c r="D30" s="16" t="n"/>
      <c r="E30" s="13" t="n"/>
      <c r="F30" s="13" t="n"/>
    </row>
    <row r="31">
      <c r="D31" s="16" t="n"/>
      <c r="E31" s="13" t="n"/>
      <c r="F31" s="13" t="n"/>
    </row>
    <row r="32">
      <c r="D32" s="16" t="n"/>
      <c r="E32" s="13" t="n"/>
      <c r="F32" s="13" t="n"/>
    </row>
    <row r="33">
      <c r="D33" s="16" t="n"/>
      <c r="E33" s="13" t="n"/>
      <c r="F33" s="13" t="n"/>
    </row>
    <row r="34">
      <c r="D34" s="16" t="n"/>
      <c r="E34" s="13" t="n"/>
      <c r="F34" s="13" t="n"/>
    </row>
    <row r="35">
      <c r="D35" s="16" t="n"/>
      <c r="E35" s="13" t="n"/>
      <c r="F35" s="13" t="n"/>
    </row>
    <row r="36">
      <c r="D36" s="16" t="n"/>
      <c r="E36" s="13" t="n"/>
      <c r="F36" s="13" t="n"/>
    </row>
    <row r="37">
      <c r="D37" s="16" t="n"/>
      <c r="E37" s="13" t="n"/>
      <c r="F37" s="13" t="n"/>
    </row>
    <row r="38">
      <c r="D38" s="16" t="n"/>
      <c r="E38" s="13" t="n"/>
      <c r="F38" s="13" t="n"/>
    </row>
    <row r="39">
      <c r="D39" s="16" t="n"/>
      <c r="E39" s="13" t="n"/>
      <c r="F39" s="13" t="n"/>
    </row>
    <row r="40">
      <c r="D40" s="16" t="n"/>
      <c r="E40" s="13" t="n"/>
      <c r="F40" s="13" t="n"/>
    </row>
    <row r="41">
      <c r="D41" s="16" t="n"/>
      <c r="E41" s="13" t="n"/>
      <c r="F41" s="13" t="n"/>
    </row>
    <row r="42">
      <c r="D42" s="16" t="n"/>
      <c r="E42" s="13" t="n"/>
      <c r="F42" s="13" t="n"/>
    </row>
    <row r="43">
      <c r="D43" s="16" t="n"/>
      <c r="E43" s="13" t="n"/>
      <c r="F43" s="13" t="n"/>
    </row>
    <row r="44">
      <c r="D44" s="16" t="n"/>
      <c r="E44" s="13" t="n"/>
      <c r="F44" s="13" t="n"/>
    </row>
    <row r="45">
      <c r="D45" s="16" t="n"/>
      <c r="E45" s="13" t="n"/>
      <c r="F45" s="13" t="n"/>
    </row>
    <row r="46">
      <c r="D46" s="16" t="n"/>
      <c r="E46" s="13" t="n"/>
      <c r="F46" s="13" t="n"/>
    </row>
    <row r="47">
      <c r="D47" s="16" t="n"/>
      <c r="E47" s="13" t="n"/>
      <c r="F47" s="13" t="n"/>
    </row>
    <row r="48">
      <c r="D48" s="16" t="n"/>
      <c r="E48" s="13" t="n"/>
      <c r="F48" s="13" t="n"/>
    </row>
    <row r="49">
      <c r="D49" s="16" t="n"/>
      <c r="E49" s="13" t="n"/>
      <c r="F49" s="13" t="n"/>
    </row>
    <row r="50">
      <c r="D50" s="16" t="n"/>
      <c r="E50" s="13" t="n"/>
      <c r="F50" s="13" t="n"/>
    </row>
    <row r="51">
      <c r="D51" s="16" t="n"/>
      <c r="E51" s="13" t="n"/>
      <c r="F51" s="13" t="n"/>
    </row>
    <row r="52">
      <c r="D52" s="16" t="n"/>
      <c r="E52" s="13" t="n"/>
      <c r="F52" s="13" t="n"/>
    </row>
    <row r="53">
      <c r="D53" s="16" t="n"/>
      <c r="E53" s="13" t="n"/>
      <c r="F53" s="13" t="n"/>
    </row>
    <row r="54">
      <c r="D54" s="16" t="n"/>
      <c r="E54" s="13" t="n"/>
      <c r="F54" s="13" t="n"/>
    </row>
    <row r="55">
      <c r="D55" s="16" t="n"/>
      <c r="E55" s="13" t="n"/>
      <c r="F55" s="13" t="n"/>
    </row>
    <row r="56">
      <c r="D56" s="16" t="n"/>
      <c r="E56" s="13" t="n"/>
      <c r="F56" s="13" t="n"/>
    </row>
    <row r="57">
      <c r="D57" s="16" t="n"/>
      <c r="E57" s="13" t="n"/>
      <c r="F57" s="13" t="n"/>
    </row>
    <row r="58">
      <c r="D58" s="16" t="n"/>
      <c r="E58" s="13" t="n"/>
      <c r="F58" s="13" t="n"/>
    </row>
    <row r="59">
      <c r="D59" s="16" t="n"/>
      <c r="E59" s="13" t="n"/>
      <c r="F59" s="13" t="n"/>
    </row>
    <row r="60">
      <c r="D60" s="16" t="n"/>
      <c r="E60" s="13" t="n"/>
      <c r="F60" s="13" t="n"/>
    </row>
    <row r="61">
      <c r="D61" s="16" t="n"/>
      <c r="E61" s="13" t="n"/>
      <c r="F61" s="13" t="n"/>
    </row>
    <row r="62">
      <c r="D62" s="16" t="n"/>
      <c r="E62" s="13" t="n"/>
      <c r="F62" s="13" t="n"/>
    </row>
    <row r="63">
      <c r="D63" s="16" t="n"/>
      <c r="E63" s="13" t="n"/>
      <c r="F63" s="13" t="n"/>
    </row>
    <row r="64">
      <c r="D64" s="16" t="n"/>
      <c r="E64" s="13" t="n"/>
      <c r="F64" s="13" t="n"/>
    </row>
    <row r="65">
      <c r="D65" s="16" t="n"/>
      <c r="E65" s="13" t="n"/>
      <c r="F65" s="13" t="n"/>
    </row>
    <row r="66">
      <c r="D66" s="16" t="n"/>
      <c r="E66" s="13" t="n"/>
      <c r="F66" s="13" t="n"/>
    </row>
    <row r="67">
      <c r="D67" s="16" t="n"/>
      <c r="E67" s="13" t="n"/>
      <c r="F67" s="13" t="n"/>
    </row>
    <row r="68">
      <c r="D68" s="16" t="n"/>
      <c r="E68" s="13" t="n"/>
      <c r="F68" s="13" t="n"/>
    </row>
    <row r="69">
      <c r="D69" s="16" t="n"/>
      <c r="E69" s="13" t="n"/>
      <c r="F69" s="13" t="n"/>
    </row>
    <row r="70">
      <c r="D70" s="16" t="n"/>
      <c r="E70" s="13" t="n"/>
      <c r="F70" s="13" t="n"/>
    </row>
    <row r="71">
      <c r="D71" s="16" t="n"/>
      <c r="E71" s="13" t="n"/>
      <c r="F71" s="13" t="n"/>
    </row>
    <row r="72">
      <c r="D72" s="16" t="n"/>
      <c r="E72" s="13" t="n"/>
      <c r="F72" s="13" t="n"/>
    </row>
    <row r="73">
      <c r="D73" s="16" t="n"/>
      <c r="E73" s="13" t="n"/>
      <c r="F73" s="13" t="n"/>
    </row>
    <row r="74">
      <c r="D74" s="16" t="n"/>
      <c r="E74" s="13" t="n"/>
      <c r="F74" s="13" t="n"/>
    </row>
    <row r="75">
      <c r="D75" s="16" t="n"/>
      <c r="E75" s="13" t="n"/>
      <c r="F75" s="13" t="n"/>
    </row>
    <row r="76">
      <c r="D76" s="16" t="n"/>
      <c r="E76" s="13" t="n"/>
      <c r="F76" s="13" t="n"/>
    </row>
    <row r="77">
      <c r="D77" s="16" t="n"/>
      <c r="E77" s="13" t="n"/>
      <c r="F77" s="13" t="n"/>
    </row>
    <row r="78">
      <c r="D78" s="16" t="n"/>
      <c r="E78" s="13" t="n"/>
      <c r="F78" s="13" t="n"/>
    </row>
    <row r="79">
      <c r="D79" s="16" t="n"/>
      <c r="E79" s="13" t="n"/>
      <c r="F79" s="13" t="n"/>
    </row>
    <row r="80">
      <c r="D80" s="16" t="n"/>
      <c r="E80" s="13" t="n"/>
      <c r="F80" s="13" t="n"/>
    </row>
    <row r="81">
      <c r="D81" s="16" t="n"/>
      <c r="E81" s="13" t="n"/>
      <c r="F81" s="13" t="n"/>
    </row>
    <row r="82">
      <c r="D82" s="16" t="n"/>
      <c r="E82" s="13" t="n"/>
      <c r="F82" s="13" t="n"/>
    </row>
    <row r="83">
      <c r="D83" s="16" t="n"/>
      <c r="E83" s="13" t="n"/>
      <c r="F83" s="13" t="n"/>
    </row>
    <row r="84">
      <c r="D84" s="16" t="n"/>
      <c r="E84" s="13" t="n"/>
      <c r="F84" s="13" t="n"/>
    </row>
    <row r="85">
      <c r="D85" s="16" t="n"/>
      <c r="E85" s="13" t="n"/>
      <c r="F85" s="13" t="n"/>
    </row>
    <row r="86">
      <c r="D86" s="16" t="n"/>
      <c r="E86" s="13" t="n"/>
      <c r="F86" s="13" t="n"/>
    </row>
    <row r="87">
      <c r="D87" s="16" t="n"/>
      <c r="E87" s="13" t="n"/>
      <c r="F87" s="13" t="n"/>
    </row>
    <row r="88">
      <c r="D88" s="16" t="n"/>
      <c r="E88" s="13" t="n"/>
      <c r="F88" s="13" t="n"/>
    </row>
    <row r="89">
      <c r="D89" s="16" t="n"/>
      <c r="E89" s="13" t="n"/>
      <c r="F89" s="13" t="n"/>
    </row>
    <row r="90">
      <c r="D90" s="16" t="n"/>
      <c r="E90" s="13" t="n"/>
      <c r="F90" s="13" t="n"/>
    </row>
    <row r="91">
      <c r="D91" s="16" t="n"/>
      <c r="E91" s="13" t="n"/>
      <c r="F91" s="13" t="n"/>
    </row>
    <row r="92">
      <c r="D92" s="16" t="n"/>
      <c r="E92" s="13" t="n"/>
      <c r="F92" s="13" t="n"/>
    </row>
    <row r="93">
      <c r="D93" s="16" t="n"/>
      <c r="E93" s="13" t="n"/>
      <c r="F93" s="13" t="n"/>
    </row>
    <row r="94">
      <c r="D94" s="16" t="n"/>
      <c r="E94" s="13" t="n"/>
      <c r="F94" s="13" t="n"/>
    </row>
    <row r="95">
      <c r="D95" s="16" t="n"/>
      <c r="E95" s="13" t="n"/>
      <c r="F95" s="13" t="n"/>
    </row>
    <row r="96">
      <c r="D96" s="16" t="n"/>
      <c r="E96" s="13" t="n"/>
      <c r="F96" s="13" t="n"/>
    </row>
    <row r="97">
      <c r="D97" s="16" t="n"/>
      <c r="E97" s="13" t="n"/>
      <c r="F97" s="13" t="n"/>
    </row>
    <row r="98">
      <c r="D98" s="16" t="n"/>
      <c r="E98" s="13" t="n"/>
      <c r="F98" s="13" t="n"/>
    </row>
    <row r="99">
      <c r="D99" s="16" t="n"/>
      <c r="E99" s="13" t="n"/>
      <c r="F99" s="13" t="n"/>
    </row>
    <row r="100">
      <c r="D100" s="16" t="n"/>
      <c r="E100" s="13" t="n"/>
      <c r="F100" s="13" t="n"/>
    </row>
    <row r="101">
      <c r="D101" s="16" t="n"/>
      <c r="E101" s="13" t="n"/>
      <c r="F101" s="13" t="n"/>
    </row>
    <row r="102">
      <c r="D102" s="16" t="n"/>
      <c r="E102" s="13" t="n"/>
      <c r="F102" s="13" t="n"/>
    </row>
    <row r="103">
      <c r="D103" s="16" t="n"/>
      <c r="E103" s="13" t="n"/>
      <c r="F103" s="13" t="n"/>
    </row>
  </sheetData>
  <autoFilter ref="A3:K103"/>
  <mergeCells count="1">
    <mergeCell ref="A1:K1"/>
  </mergeCells>
  <dataValidations count="2">
    <dataValidation sqref="C4:C103" showDropDown="0" showInputMessage="0" showErrorMessage="0" allowBlank="1" type="list">
      <formula1>"Porcentaje,Monto fijo"</formula1>
    </dataValidation>
    <dataValidation sqref="J4:J103" showDropDown="0" showInputMessage="0" showErrorMessage="0" allowBlank="1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15" customWidth="1" min="4" max="4"/>
    <col width="18" customWidth="1" min="5" max="5"/>
    <col width="20" customWidth="1" min="6" max="6"/>
    <col width="18" customWidth="1" min="7" max="7"/>
    <col width="18" customWidth="1" min="8" max="8"/>
    <col width="28" customWidth="1" min="9" max="9"/>
    <col width="35" customWidth="1" min="10" max="10"/>
  </cols>
  <sheetData>
    <row r="1" ht="32" customHeight="1">
      <c r="A1" s="1" t="inlineStr">
        <is>
          <t>BENEFICIOS / LEALTAD</t>
        </is>
      </c>
    </row>
    <row r="2"/>
    <row r="3">
      <c r="A3" s="9" t="inlineStr">
        <is>
          <t>ID Beneficio</t>
        </is>
      </c>
      <c r="B3" s="9" t="inlineStr">
        <is>
          <t>Matrícula</t>
        </is>
      </c>
      <c r="C3" s="9" t="inlineStr">
        <is>
          <t>Beneficio</t>
        </is>
      </c>
      <c r="D3" s="9" t="inlineStr">
        <is>
          <t>Nivel</t>
        </is>
      </c>
      <c r="E3" s="9" t="inlineStr">
        <is>
          <t>Fecha otorgado</t>
        </is>
      </c>
      <c r="F3" s="9" t="inlineStr">
        <is>
          <t>Fecha vencimiento</t>
        </is>
      </c>
      <c r="G3" s="9" t="inlineStr">
        <is>
          <t>Estatus</t>
        </is>
      </c>
      <c r="H3" s="9" t="inlineStr">
        <is>
          <t>Fecha utilizado</t>
        </is>
      </c>
      <c r="I3" s="9" t="inlineStr">
        <is>
          <t>Motivo</t>
        </is>
      </c>
      <c r="J3" s="9" t="inlineStr">
        <is>
          <t>Observaciones</t>
        </is>
      </c>
    </row>
    <row r="4">
      <c r="E4" s="13" t="n"/>
      <c r="F4" s="13" t="n"/>
      <c r="H4" s="13" t="n"/>
    </row>
    <row r="5">
      <c r="E5" s="13" t="n"/>
      <c r="F5" s="13" t="n"/>
      <c r="H5" s="13" t="n"/>
    </row>
    <row r="6">
      <c r="E6" s="13" t="n"/>
      <c r="F6" s="13" t="n"/>
      <c r="H6" s="13" t="n"/>
    </row>
    <row r="7">
      <c r="E7" s="13" t="n"/>
      <c r="F7" s="13" t="n"/>
      <c r="H7" s="13" t="n"/>
    </row>
    <row r="8">
      <c r="E8" s="13" t="n"/>
      <c r="F8" s="13" t="n"/>
      <c r="H8" s="13" t="n"/>
    </row>
    <row r="9">
      <c r="E9" s="13" t="n"/>
      <c r="F9" s="13" t="n"/>
      <c r="H9" s="13" t="n"/>
    </row>
    <row r="10">
      <c r="E10" s="13" t="n"/>
      <c r="F10" s="13" t="n"/>
      <c r="H10" s="13" t="n"/>
    </row>
    <row r="11">
      <c r="E11" s="13" t="n"/>
      <c r="F11" s="13" t="n"/>
      <c r="H11" s="13" t="n"/>
    </row>
    <row r="12">
      <c r="E12" s="13" t="n"/>
      <c r="F12" s="13" t="n"/>
      <c r="H12" s="13" t="n"/>
    </row>
    <row r="13">
      <c r="E13" s="13" t="n"/>
      <c r="F13" s="13" t="n"/>
      <c r="H13" s="13" t="n"/>
    </row>
    <row r="14">
      <c r="E14" s="13" t="n"/>
      <c r="F14" s="13" t="n"/>
      <c r="H14" s="13" t="n"/>
    </row>
    <row r="15">
      <c r="E15" s="13" t="n"/>
      <c r="F15" s="13" t="n"/>
      <c r="H15" s="13" t="n"/>
    </row>
    <row r="16">
      <c r="E16" s="13" t="n"/>
      <c r="F16" s="13" t="n"/>
      <c r="H16" s="13" t="n"/>
    </row>
    <row r="17">
      <c r="E17" s="13" t="n"/>
      <c r="F17" s="13" t="n"/>
      <c r="H17" s="13" t="n"/>
    </row>
    <row r="18">
      <c r="E18" s="13" t="n"/>
      <c r="F18" s="13" t="n"/>
      <c r="H18" s="13" t="n"/>
    </row>
    <row r="19">
      <c r="E19" s="13" t="n"/>
      <c r="F19" s="13" t="n"/>
      <c r="H19" s="13" t="n"/>
    </row>
    <row r="20">
      <c r="E20" s="13" t="n"/>
      <c r="F20" s="13" t="n"/>
      <c r="H20" s="13" t="n"/>
    </row>
    <row r="21">
      <c r="E21" s="13" t="n"/>
      <c r="F21" s="13" t="n"/>
      <c r="H21" s="13" t="n"/>
    </row>
    <row r="22">
      <c r="E22" s="13" t="n"/>
      <c r="F22" s="13" t="n"/>
      <c r="H22" s="13" t="n"/>
    </row>
    <row r="23">
      <c r="E23" s="13" t="n"/>
      <c r="F23" s="13" t="n"/>
      <c r="H23" s="13" t="n"/>
    </row>
    <row r="24">
      <c r="E24" s="13" t="n"/>
      <c r="F24" s="13" t="n"/>
      <c r="H24" s="13" t="n"/>
    </row>
    <row r="25">
      <c r="E25" s="13" t="n"/>
      <c r="F25" s="13" t="n"/>
      <c r="H25" s="13" t="n"/>
    </row>
    <row r="26">
      <c r="E26" s="13" t="n"/>
      <c r="F26" s="13" t="n"/>
      <c r="H26" s="13" t="n"/>
    </row>
    <row r="27">
      <c r="E27" s="13" t="n"/>
      <c r="F27" s="13" t="n"/>
      <c r="H27" s="13" t="n"/>
    </row>
    <row r="28">
      <c r="E28" s="13" t="n"/>
      <c r="F28" s="13" t="n"/>
      <c r="H28" s="13" t="n"/>
    </row>
    <row r="29">
      <c r="E29" s="13" t="n"/>
      <c r="F29" s="13" t="n"/>
      <c r="H29" s="13" t="n"/>
    </row>
    <row r="30">
      <c r="E30" s="13" t="n"/>
      <c r="F30" s="13" t="n"/>
      <c r="H30" s="13" t="n"/>
    </row>
    <row r="31">
      <c r="E31" s="13" t="n"/>
      <c r="F31" s="13" t="n"/>
      <c r="H31" s="13" t="n"/>
    </row>
    <row r="32">
      <c r="E32" s="13" t="n"/>
      <c r="F32" s="13" t="n"/>
      <c r="H32" s="13" t="n"/>
    </row>
    <row r="33">
      <c r="E33" s="13" t="n"/>
      <c r="F33" s="13" t="n"/>
      <c r="H33" s="13" t="n"/>
    </row>
    <row r="34">
      <c r="E34" s="13" t="n"/>
      <c r="F34" s="13" t="n"/>
      <c r="H34" s="13" t="n"/>
    </row>
    <row r="35">
      <c r="E35" s="13" t="n"/>
      <c r="F35" s="13" t="n"/>
      <c r="H35" s="13" t="n"/>
    </row>
    <row r="36">
      <c r="E36" s="13" t="n"/>
      <c r="F36" s="13" t="n"/>
      <c r="H36" s="13" t="n"/>
    </row>
    <row r="37">
      <c r="E37" s="13" t="n"/>
      <c r="F37" s="13" t="n"/>
      <c r="H37" s="13" t="n"/>
    </row>
    <row r="38">
      <c r="E38" s="13" t="n"/>
      <c r="F38" s="13" t="n"/>
      <c r="H38" s="13" t="n"/>
    </row>
    <row r="39">
      <c r="E39" s="13" t="n"/>
      <c r="F39" s="13" t="n"/>
      <c r="H39" s="13" t="n"/>
    </row>
    <row r="40">
      <c r="E40" s="13" t="n"/>
      <c r="F40" s="13" t="n"/>
      <c r="H40" s="13" t="n"/>
    </row>
    <row r="41">
      <c r="E41" s="13" t="n"/>
      <c r="F41" s="13" t="n"/>
      <c r="H41" s="13" t="n"/>
    </row>
    <row r="42">
      <c r="E42" s="13" t="n"/>
      <c r="F42" s="13" t="n"/>
      <c r="H42" s="13" t="n"/>
    </row>
    <row r="43">
      <c r="E43" s="13" t="n"/>
      <c r="F43" s="13" t="n"/>
      <c r="H43" s="13" t="n"/>
    </row>
    <row r="44">
      <c r="E44" s="13" t="n"/>
      <c r="F44" s="13" t="n"/>
      <c r="H44" s="13" t="n"/>
    </row>
    <row r="45">
      <c r="E45" s="13" t="n"/>
      <c r="F45" s="13" t="n"/>
      <c r="H45" s="13" t="n"/>
    </row>
    <row r="46">
      <c r="E46" s="13" t="n"/>
      <c r="F46" s="13" t="n"/>
      <c r="H46" s="13" t="n"/>
    </row>
    <row r="47">
      <c r="E47" s="13" t="n"/>
      <c r="F47" s="13" t="n"/>
      <c r="H47" s="13" t="n"/>
    </row>
    <row r="48">
      <c r="E48" s="13" t="n"/>
      <c r="F48" s="13" t="n"/>
      <c r="H48" s="13" t="n"/>
    </row>
    <row r="49">
      <c r="E49" s="13" t="n"/>
      <c r="F49" s="13" t="n"/>
      <c r="H49" s="13" t="n"/>
    </row>
    <row r="50">
      <c r="E50" s="13" t="n"/>
      <c r="F50" s="13" t="n"/>
      <c r="H50" s="13" t="n"/>
    </row>
    <row r="51">
      <c r="E51" s="13" t="n"/>
      <c r="F51" s="13" t="n"/>
      <c r="H51" s="13" t="n"/>
    </row>
    <row r="52">
      <c r="E52" s="13" t="n"/>
      <c r="F52" s="13" t="n"/>
      <c r="H52" s="13" t="n"/>
    </row>
    <row r="53">
      <c r="E53" s="13" t="n"/>
      <c r="F53" s="13" t="n"/>
      <c r="H53" s="13" t="n"/>
    </row>
    <row r="54">
      <c r="E54" s="13" t="n"/>
      <c r="F54" s="13" t="n"/>
      <c r="H54" s="13" t="n"/>
    </row>
    <row r="55">
      <c r="E55" s="13" t="n"/>
      <c r="F55" s="13" t="n"/>
      <c r="H55" s="13" t="n"/>
    </row>
    <row r="56">
      <c r="E56" s="13" t="n"/>
      <c r="F56" s="13" t="n"/>
      <c r="H56" s="13" t="n"/>
    </row>
    <row r="57">
      <c r="E57" s="13" t="n"/>
      <c r="F57" s="13" t="n"/>
      <c r="H57" s="13" t="n"/>
    </row>
    <row r="58">
      <c r="E58" s="13" t="n"/>
      <c r="F58" s="13" t="n"/>
      <c r="H58" s="13" t="n"/>
    </row>
    <row r="59">
      <c r="E59" s="13" t="n"/>
      <c r="F59" s="13" t="n"/>
      <c r="H59" s="13" t="n"/>
    </row>
    <row r="60">
      <c r="E60" s="13" t="n"/>
      <c r="F60" s="13" t="n"/>
      <c r="H60" s="13" t="n"/>
    </row>
    <row r="61">
      <c r="E61" s="13" t="n"/>
      <c r="F61" s="13" t="n"/>
      <c r="H61" s="13" t="n"/>
    </row>
    <row r="62">
      <c r="E62" s="13" t="n"/>
      <c r="F62" s="13" t="n"/>
      <c r="H62" s="13" t="n"/>
    </row>
    <row r="63">
      <c r="E63" s="13" t="n"/>
      <c r="F63" s="13" t="n"/>
      <c r="H63" s="13" t="n"/>
    </row>
    <row r="64">
      <c r="E64" s="13" t="n"/>
      <c r="F64" s="13" t="n"/>
      <c r="H64" s="13" t="n"/>
    </row>
    <row r="65">
      <c r="E65" s="13" t="n"/>
      <c r="F65" s="13" t="n"/>
      <c r="H65" s="13" t="n"/>
    </row>
    <row r="66">
      <c r="E66" s="13" t="n"/>
      <c r="F66" s="13" t="n"/>
      <c r="H66" s="13" t="n"/>
    </row>
    <row r="67">
      <c r="E67" s="13" t="n"/>
      <c r="F67" s="13" t="n"/>
      <c r="H67" s="13" t="n"/>
    </row>
    <row r="68">
      <c r="E68" s="13" t="n"/>
      <c r="F68" s="13" t="n"/>
      <c r="H68" s="13" t="n"/>
    </row>
    <row r="69">
      <c r="E69" s="13" t="n"/>
      <c r="F69" s="13" t="n"/>
      <c r="H69" s="13" t="n"/>
    </row>
    <row r="70">
      <c r="E70" s="13" t="n"/>
      <c r="F70" s="13" t="n"/>
      <c r="H70" s="13" t="n"/>
    </row>
    <row r="71">
      <c r="E71" s="13" t="n"/>
      <c r="F71" s="13" t="n"/>
      <c r="H71" s="13" t="n"/>
    </row>
    <row r="72">
      <c r="E72" s="13" t="n"/>
      <c r="F72" s="13" t="n"/>
      <c r="H72" s="13" t="n"/>
    </row>
    <row r="73">
      <c r="E73" s="13" t="n"/>
      <c r="F73" s="13" t="n"/>
      <c r="H73" s="13" t="n"/>
    </row>
    <row r="74">
      <c r="E74" s="13" t="n"/>
      <c r="F74" s="13" t="n"/>
      <c r="H74" s="13" t="n"/>
    </row>
    <row r="75">
      <c r="E75" s="13" t="n"/>
      <c r="F75" s="13" t="n"/>
      <c r="H75" s="13" t="n"/>
    </row>
    <row r="76">
      <c r="E76" s="13" t="n"/>
      <c r="F76" s="13" t="n"/>
      <c r="H76" s="13" t="n"/>
    </row>
    <row r="77">
      <c r="E77" s="13" t="n"/>
      <c r="F77" s="13" t="n"/>
      <c r="H77" s="13" t="n"/>
    </row>
    <row r="78">
      <c r="E78" s="13" t="n"/>
      <c r="F78" s="13" t="n"/>
      <c r="H78" s="13" t="n"/>
    </row>
    <row r="79">
      <c r="E79" s="13" t="n"/>
      <c r="F79" s="13" t="n"/>
      <c r="H79" s="13" t="n"/>
    </row>
    <row r="80">
      <c r="E80" s="13" t="n"/>
      <c r="F80" s="13" t="n"/>
      <c r="H80" s="13" t="n"/>
    </row>
    <row r="81">
      <c r="E81" s="13" t="n"/>
      <c r="F81" s="13" t="n"/>
      <c r="H81" s="13" t="n"/>
    </row>
    <row r="82">
      <c r="E82" s="13" t="n"/>
      <c r="F82" s="13" t="n"/>
      <c r="H82" s="13" t="n"/>
    </row>
    <row r="83">
      <c r="E83" s="13" t="n"/>
      <c r="F83" s="13" t="n"/>
      <c r="H83" s="13" t="n"/>
    </row>
    <row r="84">
      <c r="E84" s="13" t="n"/>
      <c r="F84" s="13" t="n"/>
      <c r="H84" s="13" t="n"/>
    </row>
    <row r="85">
      <c r="E85" s="13" t="n"/>
      <c r="F85" s="13" t="n"/>
      <c r="H85" s="13" t="n"/>
    </row>
    <row r="86">
      <c r="E86" s="13" t="n"/>
      <c r="F86" s="13" t="n"/>
      <c r="H86" s="13" t="n"/>
    </row>
    <row r="87">
      <c r="E87" s="13" t="n"/>
      <c r="F87" s="13" t="n"/>
      <c r="H87" s="13" t="n"/>
    </row>
    <row r="88">
      <c r="E88" s="13" t="n"/>
      <c r="F88" s="13" t="n"/>
      <c r="H88" s="13" t="n"/>
    </row>
    <row r="89">
      <c r="E89" s="13" t="n"/>
      <c r="F89" s="13" t="n"/>
      <c r="H89" s="13" t="n"/>
    </row>
    <row r="90">
      <c r="E90" s="13" t="n"/>
      <c r="F90" s="13" t="n"/>
      <c r="H90" s="13" t="n"/>
    </row>
    <row r="91">
      <c r="E91" s="13" t="n"/>
      <c r="F91" s="13" t="n"/>
      <c r="H91" s="13" t="n"/>
    </row>
    <row r="92">
      <c r="E92" s="13" t="n"/>
      <c r="F92" s="13" t="n"/>
      <c r="H92" s="13" t="n"/>
    </row>
    <row r="93">
      <c r="E93" s="13" t="n"/>
      <c r="F93" s="13" t="n"/>
      <c r="H93" s="13" t="n"/>
    </row>
    <row r="94">
      <c r="E94" s="13" t="n"/>
      <c r="F94" s="13" t="n"/>
      <c r="H94" s="13" t="n"/>
    </row>
    <row r="95">
      <c r="E95" s="13" t="n"/>
      <c r="F95" s="13" t="n"/>
      <c r="H95" s="13" t="n"/>
    </row>
    <row r="96">
      <c r="E96" s="13" t="n"/>
      <c r="F96" s="13" t="n"/>
      <c r="H96" s="13" t="n"/>
    </row>
    <row r="97">
      <c r="E97" s="13" t="n"/>
      <c r="F97" s="13" t="n"/>
      <c r="H97" s="13" t="n"/>
    </row>
    <row r="98">
      <c r="E98" s="13" t="n"/>
      <c r="F98" s="13" t="n"/>
      <c r="H98" s="13" t="n"/>
    </row>
    <row r="99">
      <c r="E99" s="13" t="n"/>
      <c r="F99" s="13" t="n"/>
      <c r="H99" s="13" t="n"/>
    </row>
    <row r="100">
      <c r="E100" s="13" t="n"/>
      <c r="F100" s="13" t="n"/>
      <c r="H100" s="13" t="n"/>
    </row>
    <row r="101">
      <c r="E101" s="13" t="n"/>
      <c r="F101" s="13" t="n"/>
      <c r="H101" s="13" t="n"/>
    </row>
    <row r="102">
      <c r="E102" s="13" t="n"/>
      <c r="F102" s="13" t="n"/>
      <c r="H102" s="13" t="n"/>
    </row>
    <row r="103">
      <c r="E103" s="13" t="n"/>
      <c r="F103" s="13" t="n"/>
      <c r="H103" s="13" t="n"/>
    </row>
    <row r="104">
      <c r="E104" s="13" t="n"/>
      <c r="F104" s="13" t="n"/>
      <c r="H104" s="13" t="n"/>
    </row>
    <row r="105">
      <c r="E105" s="13" t="n"/>
      <c r="F105" s="13" t="n"/>
      <c r="H105" s="13" t="n"/>
    </row>
    <row r="106">
      <c r="E106" s="13" t="n"/>
      <c r="F106" s="13" t="n"/>
      <c r="H106" s="13" t="n"/>
    </row>
    <row r="107">
      <c r="E107" s="13" t="n"/>
      <c r="F107" s="13" t="n"/>
      <c r="H107" s="13" t="n"/>
    </row>
    <row r="108">
      <c r="E108" s="13" t="n"/>
      <c r="F108" s="13" t="n"/>
      <c r="H108" s="13" t="n"/>
    </row>
    <row r="109">
      <c r="E109" s="13" t="n"/>
      <c r="F109" s="13" t="n"/>
      <c r="H109" s="13" t="n"/>
    </row>
    <row r="110">
      <c r="E110" s="13" t="n"/>
      <c r="F110" s="13" t="n"/>
      <c r="H110" s="13" t="n"/>
    </row>
    <row r="111">
      <c r="E111" s="13" t="n"/>
      <c r="F111" s="13" t="n"/>
      <c r="H111" s="13" t="n"/>
    </row>
    <row r="112">
      <c r="E112" s="13" t="n"/>
      <c r="F112" s="13" t="n"/>
      <c r="H112" s="13" t="n"/>
    </row>
    <row r="113">
      <c r="E113" s="13" t="n"/>
      <c r="F113" s="13" t="n"/>
      <c r="H113" s="13" t="n"/>
    </row>
    <row r="114">
      <c r="E114" s="13" t="n"/>
      <c r="F114" s="13" t="n"/>
      <c r="H114" s="13" t="n"/>
    </row>
    <row r="115">
      <c r="E115" s="13" t="n"/>
      <c r="F115" s="13" t="n"/>
      <c r="H115" s="13" t="n"/>
    </row>
    <row r="116">
      <c r="E116" s="13" t="n"/>
      <c r="F116" s="13" t="n"/>
      <c r="H116" s="13" t="n"/>
    </row>
    <row r="117">
      <c r="E117" s="13" t="n"/>
      <c r="F117" s="13" t="n"/>
      <c r="H117" s="13" t="n"/>
    </row>
    <row r="118">
      <c r="E118" s="13" t="n"/>
      <c r="F118" s="13" t="n"/>
      <c r="H118" s="13" t="n"/>
    </row>
    <row r="119">
      <c r="E119" s="13" t="n"/>
      <c r="F119" s="13" t="n"/>
      <c r="H119" s="13" t="n"/>
    </row>
    <row r="120">
      <c r="E120" s="13" t="n"/>
      <c r="F120" s="13" t="n"/>
      <c r="H120" s="13" t="n"/>
    </row>
    <row r="121">
      <c r="E121" s="13" t="n"/>
      <c r="F121" s="13" t="n"/>
      <c r="H121" s="13" t="n"/>
    </row>
    <row r="122">
      <c r="E122" s="13" t="n"/>
      <c r="F122" s="13" t="n"/>
      <c r="H122" s="13" t="n"/>
    </row>
    <row r="123">
      <c r="E123" s="13" t="n"/>
      <c r="F123" s="13" t="n"/>
      <c r="H123" s="13" t="n"/>
    </row>
    <row r="124">
      <c r="E124" s="13" t="n"/>
      <c r="F124" s="13" t="n"/>
      <c r="H124" s="13" t="n"/>
    </row>
    <row r="125">
      <c r="E125" s="13" t="n"/>
      <c r="F125" s="13" t="n"/>
      <c r="H125" s="13" t="n"/>
    </row>
    <row r="126">
      <c r="E126" s="13" t="n"/>
      <c r="F126" s="13" t="n"/>
      <c r="H126" s="13" t="n"/>
    </row>
    <row r="127">
      <c r="E127" s="13" t="n"/>
      <c r="F127" s="13" t="n"/>
      <c r="H127" s="13" t="n"/>
    </row>
    <row r="128">
      <c r="E128" s="13" t="n"/>
      <c r="F128" s="13" t="n"/>
      <c r="H128" s="13" t="n"/>
    </row>
    <row r="129">
      <c r="E129" s="13" t="n"/>
      <c r="F129" s="13" t="n"/>
      <c r="H129" s="13" t="n"/>
    </row>
    <row r="130">
      <c r="E130" s="13" t="n"/>
      <c r="F130" s="13" t="n"/>
      <c r="H130" s="13" t="n"/>
    </row>
    <row r="131">
      <c r="E131" s="13" t="n"/>
      <c r="F131" s="13" t="n"/>
      <c r="H131" s="13" t="n"/>
    </row>
    <row r="132">
      <c r="E132" s="13" t="n"/>
      <c r="F132" s="13" t="n"/>
      <c r="H132" s="13" t="n"/>
    </row>
    <row r="133">
      <c r="E133" s="13" t="n"/>
      <c r="F133" s="13" t="n"/>
      <c r="H133" s="13" t="n"/>
    </row>
    <row r="134">
      <c r="E134" s="13" t="n"/>
      <c r="F134" s="13" t="n"/>
      <c r="H134" s="13" t="n"/>
    </row>
    <row r="135">
      <c r="E135" s="13" t="n"/>
      <c r="F135" s="13" t="n"/>
      <c r="H135" s="13" t="n"/>
    </row>
    <row r="136">
      <c r="E136" s="13" t="n"/>
      <c r="F136" s="13" t="n"/>
      <c r="H136" s="13" t="n"/>
    </row>
    <row r="137">
      <c r="E137" s="13" t="n"/>
      <c r="F137" s="13" t="n"/>
      <c r="H137" s="13" t="n"/>
    </row>
    <row r="138">
      <c r="E138" s="13" t="n"/>
      <c r="F138" s="13" t="n"/>
      <c r="H138" s="13" t="n"/>
    </row>
    <row r="139">
      <c r="E139" s="13" t="n"/>
      <c r="F139" s="13" t="n"/>
      <c r="H139" s="13" t="n"/>
    </row>
    <row r="140">
      <c r="E140" s="13" t="n"/>
      <c r="F140" s="13" t="n"/>
      <c r="H140" s="13" t="n"/>
    </row>
    <row r="141">
      <c r="E141" s="13" t="n"/>
      <c r="F141" s="13" t="n"/>
      <c r="H141" s="13" t="n"/>
    </row>
    <row r="142">
      <c r="E142" s="13" t="n"/>
      <c r="F142" s="13" t="n"/>
      <c r="H142" s="13" t="n"/>
    </row>
    <row r="143">
      <c r="E143" s="13" t="n"/>
      <c r="F143" s="13" t="n"/>
      <c r="H143" s="13" t="n"/>
    </row>
    <row r="144">
      <c r="E144" s="13" t="n"/>
      <c r="F144" s="13" t="n"/>
      <c r="H144" s="13" t="n"/>
    </row>
    <row r="145">
      <c r="E145" s="13" t="n"/>
      <c r="F145" s="13" t="n"/>
      <c r="H145" s="13" t="n"/>
    </row>
    <row r="146">
      <c r="E146" s="13" t="n"/>
      <c r="F146" s="13" t="n"/>
      <c r="H146" s="13" t="n"/>
    </row>
    <row r="147">
      <c r="E147" s="13" t="n"/>
      <c r="F147" s="13" t="n"/>
      <c r="H147" s="13" t="n"/>
    </row>
    <row r="148">
      <c r="E148" s="13" t="n"/>
      <c r="F148" s="13" t="n"/>
      <c r="H148" s="13" t="n"/>
    </row>
    <row r="149">
      <c r="E149" s="13" t="n"/>
      <c r="F149" s="13" t="n"/>
      <c r="H149" s="13" t="n"/>
    </row>
    <row r="150">
      <c r="E150" s="13" t="n"/>
      <c r="F150" s="13" t="n"/>
      <c r="H150" s="13" t="n"/>
    </row>
    <row r="151">
      <c r="E151" s="13" t="n"/>
      <c r="F151" s="13" t="n"/>
      <c r="H151" s="13" t="n"/>
    </row>
    <row r="152">
      <c r="E152" s="13" t="n"/>
      <c r="F152" s="13" t="n"/>
      <c r="H152" s="13" t="n"/>
    </row>
    <row r="153">
      <c r="E153" s="13" t="n"/>
      <c r="F153" s="13" t="n"/>
      <c r="H153" s="13" t="n"/>
    </row>
    <row r="154">
      <c r="E154" s="13" t="n"/>
      <c r="F154" s="13" t="n"/>
      <c r="H154" s="13" t="n"/>
    </row>
    <row r="155">
      <c r="E155" s="13" t="n"/>
      <c r="F155" s="13" t="n"/>
      <c r="H155" s="13" t="n"/>
    </row>
    <row r="156">
      <c r="E156" s="13" t="n"/>
      <c r="F156" s="13" t="n"/>
      <c r="H156" s="13" t="n"/>
    </row>
    <row r="157">
      <c r="E157" s="13" t="n"/>
      <c r="F157" s="13" t="n"/>
      <c r="H157" s="13" t="n"/>
    </row>
    <row r="158">
      <c r="E158" s="13" t="n"/>
      <c r="F158" s="13" t="n"/>
      <c r="H158" s="13" t="n"/>
    </row>
    <row r="159">
      <c r="E159" s="13" t="n"/>
      <c r="F159" s="13" t="n"/>
      <c r="H159" s="13" t="n"/>
    </row>
    <row r="160">
      <c r="E160" s="13" t="n"/>
      <c r="F160" s="13" t="n"/>
      <c r="H160" s="13" t="n"/>
    </row>
    <row r="161">
      <c r="E161" s="13" t="n"/>
      <c r="F161" s="13" t="n"/>
      <c r="H161" s="13" t="n"/>
    </row>
    <row r="162">
      <c r="E162" s="13" t="n"/>
      <c r="F162" s="13" t="n"/>
      <c r="H162" s="13" t="n"/>
    </row>
    <row r="163">
      <c r="E163" s="13" t="n"/>
      <c r="F163" s="13" t="n"/>
      <c r="H163" s="13" t="n"/>
    </row>
    <row r="164">
      <c r="E164" s="13" t="n"/>
      <c r="F164" s="13" t="n"/>
      <c r="H164" s="13" t="n"/>
    </row>
    <row r="165">
      <c r="E165" s="13" t="n"/>
      <c r="F165" s="13" t="n"/>
      <c r="H165" s="13" t="n"/>
    </row>
    <row r="166">
      <c r="E166" s="13" t="n"/>
      <c r="F166" s="13" t="n"/>
      <c r="H166" s="13" t="n"/>
    </row>
    <row r="167">
      <c r="E167" s="13" t="n"/>
      <c r="F167" s="13" t="n"/>
      <c r="H167" s="13" t="n"/>
    </row>
    <row r="168">
      <c r="E168" s="13" t="n"/>
      <c r="F168" s="13" t="n"/>
      <c r="H168" s="13" t="n"/>
    </row>
    <row r="169">
      <c r="E169" s="13" t="n"/>
      <c r="F169" s="13" t="n"/>
      <c r="H169" s="13" t="n"/>
    </row>
    <row r="170">
      <c r="E170" s="13" t="n"/>
      <c r="F170" s="13" t="n"/>
      <c r="H170" s="13" t="n"/>
    </row>
    <row r="171">
      <c r="E171" s="13" t="n"/>
      <c r="F171" s="13" t="n"/>
      <c r="H171" s="13" t="n"/>
    </row>
    <row r="172">
      <c r="E172" s="13" t="n"/>
      <c r="F172" s="13" t="n"/>
      <c r="H172" s="13" t="n"/>
    </row>
    <row r="173">
      <c r="E173" s="13" t="n"/>
      <c r="F173" s="13" t="n"/>
      <c r="H173" s="13" t="n"/>
    </row>
    <row r="174">
      <c r="E174" s="13" t="n"/>
      <c r="F174" s="13" t="n"/>
      <c r="H174" s="13" t="n"/>
    </row>
    <row r="175">
      <c r="E175" s="13" t="n"/>
      <c r="F175" s="13" t="n"/>
      <c r="H175" s="13" t="n"/>
    </row>
    <row r="176">
      <c r="E176" s="13" t="n"/>
      <c r="F176" s="13" t="n"/>
      <c r="H176" s="13" t="n"/>
    </row>
    <row r="177">
      <c r="E177" s="13" t="n"/>
      <c r="F177" s="13" t="n"/>
      <c r="H177" s="13" t="n"/>
    </row>
    <row r="178">
      <c r="E178" s="13" t="n"/>
      <c r="F178" s="13" t="n"/>
      <c r="H178" s="13" t="n"/>
    </row>
    <row r="179">
      <c r="E179" s="13" t="n"/>
      <c r="F179" s="13" t="n"/>
      <c r="H179" s="13" t="n"/>
    </row>
    <row r="180">
      <c r="E180" s="13" t="n"/>
      <c r="F180" s="13" t="n"/>
      <c r="H180" s="13" t="n"/>
    </row>
    <row r="181">
      <c r="E181" s="13" t="n"/>
      <c r="F181" s="13" t="n"/>
      <c r="H181" s="13" t="n"/>
    </row>
    <row r="182">
      <c r="E182" s="13" t="n"/>
      <c r="F182" s="13" t="n"/>
      <c r="H182" s="13" t="n"/>
    </row>
    <row r="183">
      <c r="E183" s="13" t="n"/>
      <c r="F183" s="13" t="n"/>
      <c r="H183" s="13" t="n"/>
    </row>
    <row r="184">
      <c r="E184" s="13" t="n"/>
      <c r="F184" s="13" t="n"/>
      <c r="H184" s="13" t="n"/>
    </row>
    <row r="185">
      <c r="E185" s="13" t="n"/>
      <c r="F185" s="13" t="n"/>
      <c r="H185" s="13" t="n"/>
    </row>
    <row r="186">
      <c r="E186" s="13" t="n"/>
      <c r="F186" s="13" t="n"/>
      <c r="H186" s="13" t="n"/>
    </row>
    <row r="187">
      <c r="E187" s="13" t="n"/>
      <c r="F187" s="13" t="n"/>
      <c r="H187" s="13" t="n"/>
    </row>
    <row r="188">
      <c r="E188" s="13" t="n"/>
      <c r="F188" s="13" t="n"/>
      <c r="H188" s="13" t="n"/>
    </row>
    <row r="189">
      <c r="E189" s="13" t="n"/>
      <c r="F189" s="13" t="n"/>
      <c r="H189" s="13" t="n"/>
    </row>
    <row r="190">
      <c r="E190" s="13" t="n"/>
      <c r="F190" s="13" t="n"/>
      <c r="H190" s="13" t="n"/>
    </row>
    <row r="191">
      <c r="E191" s="13" t="n"/>
      <c r="F191" s="13" t="n"/>
      <c r="H191" s="13" t="n"/>
    </row>
    <row r="192">
      <c r="E192" s="13" t="n"/>
      <c r="F192" s="13" t="n"/>
      <c r="H192" s="13" t="n"/>
    </row>
    <row r="193">
      <c r="E193" s="13" t="n"/>
      <c r="F193" s="13" t="n"/>
      <c r="H193" s="13" t="n"/>
    </row>
    <row r="194">
      <c r="E194" s="13" t="n"/>
      <c r="F194" s="13" t="n"/>
      <c r="H194" s="13" t="n"/>
    </row>
    <row r="195">
      <c r="E195" s="13" t="n"/>
      <c r="F195" s="13" t="n"/>
      <c r="H195" s="13" t="n"/>
    </row>
    <row r="196">
      <c r="E196" s="13" t="n"/>
      <c r="F196" s="13" t="n"/>
      <c r="H196" s="13" t="n"/>
    </row>
    <row r="197">
      <c r="E197" s="13" t="n"/>
      <c r="F197" s="13" t="n"/>
      <c r="H197" s="13" t="n"/>
    </row>
    <row r="198">
      <c r="E198" s="13" t="n"/>
      <c r="F198" s="13" t="n"/>
      <c r="H198" s="13" t="n"/>
    </row>
    <row r="199">
      <c r="E199" s="13" t="n"/>
      <c r="F199" s="13" t="n"/>
      <c r="H199" s="13" t="n"/>
    </row>
    <row r="200">
      <c r="E200" s="13" t="n"/>
      <c r="F200" s="13" t="n"/>
      <c r="H200" s="13" t="n"/>
    </row>
    <row r="201">
      <c r="E201" s="13" t="n"/>
      <c r="F201" s="13" t="n"/>
      <c r="H201" s="13" t="n"/>
    </row>
    <row r="202">
      <c r="E202" s="13" t="n"/>
      <c r="F202" s="13" t="n"/>
      <c r="H202" s="13" t="n"/>
    </row>
    <row r="203">
      <c r="E203" s="13" t="n"/>
      <c r="F203" s="13" t="n"/>
      <c r="H203" s="13" t="n"/>
    </row>
  </sheetData>
  <autoFilter ref="A3:J203"/>
  <mergeCells count="1">
    <mergeCell ref="A1:J1"/>
  </mergeCells>
  <dataValidations count="2">
    <dataValidation sqref="G4:G203" showDropDown="0" showInputMessage="0" showErrorMessage="0" allowBlank="1" type="list">
      <formula1>"Disponible,Utilizado,Expirado"</formula1>
    </dataValidation>
    <dataValidation sqref="D4:D203" showDropDown="0" showInputMessage="0" showErrorMessage="0" allowBlank="1" type="list">
      <formula1>"Inicial,Plus,Premium,Elite"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0" customWidth="1" min="4" max="4"/>
    <col width="22" customWidth="1" min="5" max="5"/>
    <col width="22" customWidth="1" min="6" max="6"/>
    <col width="16" customWidth="1" min="7" max="7"/>
    <col width="16" customWidth="1" min="8" max="8"/>
    <col width="18" customWidth="1" min="9" max="9"/>
  </cols>
  <sheetData>
    <row r="1" ht="32" customHeight="1">
      <c r="A1" s="1" t="inlineStr">
        <is>
          <t>ASISTENCIA</t>
        </is>
      </c>
    </row>
    <row r="2"/>
    <row r="3">
      <c r="A3" s="9" t="inlineStr">
        <is>
          <t>ID</t>
        </is>
      </c>
      <c r="B3" s="9" t="inlineStr">
        <is>
          <t>Fecha</t>
        </is>
      </c>
      <c r="C3" s="9" t="inlineStr">
        <is>
          <t>Matrícula</t>
        </is>
      </c>
      <c r="D3" s="9" t="inlineStr">
        <is>
          <t>Alumno</t>
        </is>
      </c>
      <c r="E3" s="9" t="inlineStr">
        <is>
          <t>Disciplina</t>
        </is>
      </c>
      <c r="F3" s="9" t="inlineStr">
        <is>
          <t>Grupo</t>
        </is>
      </c>
      <c r="G3" s="9" t="inlineStr">
        <is>
          <t>Hora entrada</t>
        </is>
      </c>
      <c r="H3" s="9" t="inlineStr">
        <is>
          <t>Hora salida</t>
        </is>
      </c>
      <c r="I3" s="9" t="inlineStr">
        <is>
          <t>Estatus</t>
        </is>
      </c>
    </row>
    <row r="4">
      <c r="B4" s="13" t="n"/>
    </row>
    <row r="5">
      <c r="B5" s="13" t="n"/>
    </row>
    <row r="6">
      <c r="B6" s="13" t="n"/>
    </row>
    <row r="7">
      <c r="B7" s="13" t="n"/>
    </row>
    <row r="8">
      <c r="B8" s="13" t="n"/>
    </row>
    <row r="9">
      <c r="B9" s="13" t="n"/>
    </row>
    <row r="10">
      <c r="B10" s="13" t="n"/>
    </row>
    <row r="11">
      <c r="B11" s="13" t="n"/>
    </row>
    <row r="12">
      <c r="B12" s="13" t="n"/>
    </row>
    <row r="13">
      <c r="B13" s="13" t="n"/>
    </row>
    <row r="14">
      <c r="B14" s="13" t="n"/>
    </row>
    <row r="15">
      <c r="B15" s="13" t="n"/>
    </row>
    <row r="16">
      <c r="B16" s="13" t="n"/>
    </row>
    <row r="17">
      <c r="B17" s="13" t="n"/>
    </row>
    <row r="18">
      <c r="B18" s="13" t="n"/>
    </row>
    <row r="19">
      <c r="B19" s="13" t="n"/>
    </row>
    <row r="20">
      <c r="B20" s="13" t="n"/>
    </row>
    <row r="21">
      <c r="B21" s="13" t="n"/>
    </row>
    <row r="22">
      <c r="B22" s="13" t="n"/>
    </row>
    <row r="23">
      <c r="B23" s="13" t="n"/>
    </row>
    <row r="24">
      <c r="B24" s="13" t="n"/>
    </row>
    <row r="25">
      <c r="B25" s="13" t="n"/>
    </row>
    <row r="26">
      <c r="B26" s="13" t="n"/>
    </row>
    <row r="27">
      <c r="B27" s="13" t="n"/>
    </row>
    <row r="28">
      <c r="B28" s="13" t="n"/>
    </row>
    <row r="29">
      <c r="B29" s="13" t="n"/>
    </row>
    <row r="30">
      <c r="B30" s="13" t="n"/>
    </row>
    <row r="31">
      <c r="B31" s="13" t="n"/>
    </row>
    <row r="32">
      <c r="B32" s="13" t="n"/>
    </row>
    <row r="33">
      <c r="B33" s="13" t="n"/>
    </row>
    <row r="34">
      <c r="B34" s="13" t="n"/>
    </row>
    <row r="35">
      <c r="B35" s="13" t="n"/>
    </row>
    <row r="36">
      <c r="B36" s="13" t="n"/>
    </row>
    <row r="37">
      <c r="B37" s="13" t="n"/>
    </row>
    <row r="38">
      <c r="B38" s="13" t="n"/>
    </row>
    <row r="39">
      <c r="B39" s="13" t="n"/>
    </row>
    <row r="40">
      <c r="B40" s="13" t="n"/>
    </row>
    <row r="41">
      <c r="B41" s="13" t="n"/>
    </row>
    <row r="42">
      <c r="B42" s="13" t="n"/>
    </row>
    <row r="43">
      <c r="B43" s="13" t="n"/>
    </row>
    <row r="44">
      <c r="B44" s="13" t="n"/>
    </row>
    <row r="45">
      <c r="B45" s="13" t="n"/>
    </row>
    <row r="46">
      <c r="B46" s="13" t="n"/>
    </row>
    <row r="47">
      <c r="B47" s="13" t="n"/>
    </row>
    <row r="48">
      <c r="B48" s="13" t="n"/>
    </row>
    <row r="49">
      <c r="B49" s="13" t="n"/>
    </row>
    <row r="50">
      <c r="B50" s="13" t="n"/>
    </row>
    <row r="51">
      <c r="B51" s="13" t="n"/>
    </row>
    <row r="52">
      <c r="B52" s="13" t="n"/>
    </row>
    <row r="53">
      <c r="B53" s="13" t="n"/>
    </row>
    <row r="54">
      <c r="B54" s="13" t="n"/>
    </row>
    <row r="55">
      <c r="B55" s="13" t="n"/>
    </row>
    <row r="56">
      <c r="B56" s="13" t="n"/>
    </row>
    <row r="57">
      <c r="B57" s="13" t="n"/>
    </row>
    <row r="58">
      <c r="B58" s="13" t="n"/>
    </row>
    <row r="59">
      <c r="B59" s="13" t="n"/>
    </row>
    <row r="60">
      <c r="B60" s="13" t="n"/>
    </row>
    <row r="61">
      <c r="B61" s="13" t="n"/>
    </row>
    <row r="62">
      <c r="B62" s="13" t="n"/>
    </row>
    <row r="63">
      <c r="B63" s="13" t="n"/>
    </row>
    <row r="64">
      <c r="B64" s="13" t="n"/>
    </row>
    <row r="65">
      <c r="B65" s="13" t="n"/>
    </row>
    <row r="66">
      <c r="B66" s="13" t="n"/>
    </row>
    <row r="67">
      <c r="B67" s="13" t="n"/>
    </row>
    <row r="68">
      <c r="B68" s="13" t="n"/>
    </row>
    <row r="69">
      <c r="B69" s="13" t="n"/>
    </row>
    <row r="70">
      <c r="B70" s="13" t="n"/>
    </row>
    <row r="71">
      <c r="B71" s="13" t="n"/>
    </row>
    <row r="72">
      <c r="B72" s="13" t="n"/>
    </row>
    <row r="73">
      <c r="B73" s="13" t="n"/>
    </row>
    <row r="74">
      <c r="B74" s="13" t="n"/>
    </row>
    <row r="75">
      <c r="B75" s="13" t="n"/>
    </row>
    <row r="76">
      <c r="B76" s="13" t="n"/>
    </row>
    <row r="77">
      <c r="B77" s="13" t="n"/>
    </row>
    <row r="78">
      <c r="B78" s="13" t="n"/>
    </row>
    <row r="79">
      <c r="B79" s="13" t="n"/>
    </row>
    <row r="80">
      <c r="B80" s="13" t="n"/>
    </row>
    <row r="81">
      <c r="B81" s="13" t="n"/>
    </row>
    <row r="82">
      <c r="B82" s="13" t="n"/>
    </row>
    <row r="83">
      <c r="B83" s="13" t="n"/>
    </row>
    <row r="84">
      <c r="B84" s="13" t="n"/>
    </row>
    <row r="85">
      <c r="B85" s="13" t="n"/>
    </row>
    <row r="86">
      <c r="B86" s="13" t="n"/>
    </row>
    <row r="87">
      <c r="B87" s="13" t="n"/>
    </row>
    <row r="88">
      <c r="B88" s="13" t="n"/>
    </row>
    <row r="89">
      <c r="B89" s="13" t="n"/>
    </row>
    <row r="90">
      <c r="B90" s="13" t="n"/>
    </row>
    <row r="91">
      <c r="B91" s="13" t="n"/>
    </row>
    <row r="92">
      <c r="B92" s="13" t="n"/>
    </row>
    <row r="93">
      <c r="B93" s="13" t="n"/>
    </row>
    <row r="94">
      <c r="B94" s="13" t="n"/>
    </row>
    <row r="95">
      <c r="B95" s="13" t="n"/>
    </row>
    <row r="96">
      <c r="B96" s="13" t="n"/>
    </row>
    <row r="97">
      <c r="B97" s="13" t="n"/>
    </row>
    <row r="98">
      <c r="B98" s="13" t="n"/>
    </row>
    <row r="99">
      <c r="B99" s="13" t="n"/>
    </row>
    <row r="100">
      <c r="B100" s="13" t="n"/>
    </row>
    <row r="101">
      <c r="B101" s="13" t="n"/>
    </row>
    <row r="102">
      <c r="B102" s="13" t="n"/>
    </row>
    <row r="103">
      <c r="B103" s="13" t="n"/>
    </row>
    <row r="104">
      <c r="B104" s="13" t="n"/>
    </row>
    <row r="105">
      <c r="B105" s="13" t="n"/>
    </row>
    <row r="106">
      <c r="B106" s="13" t="n"/>
    </row>
    <row r="107">
      <c r="B107" s="13" t="n"/>
    </row>
    <row r="108">
      <c r="B108" s="13" t="n"/>
    </row>
    <row r="109">
      <c r="B109" s="13" t="n"/>
    </row>
    <row r="110">
      <c r="B110" s="13" t="n"/>
    </row>
    <row r="111">
      <c r="B111" s="13" t="n"/>
    </row>
    <row r="112">
      <c r="B112" s="13" t="n"/>
    </row>
    <row r="113">
      <c r="B113" s="13" t="n"/>
    </row>
    <row r="114">
      <c r="B114" s="13" t="n"/>
    </row>
    <row r="115">
      <c r="B115" s="13" t="n"/>
    </row>
    <row r="116">
      <c r="B116" s="13" t="n"/>
    </row>
    <row r="117">
      <c r="B117" s="13" t="n"/>
    </row>
    <row r="118">
      <c r="B118" s="13" t="n"/>
    </row>
    <row r="119">
      <c r="B119" s="13" t="n"/>
    </row>
    <row r="120">
      <c r="B120" s="13" t="n"/>
    </row>
    <row r="121">
      <c r="B121" s="13" t="n"/>
    </row>
    <row r="122">
      <c r="B122" s="13" t="n"/>
    </row>
    <row r="123">
      <c r="B123" s="13" t="n"/>
    </row>
    <row r="124">
      <c r="B124" s="13" t="n"/>
    </row>
    <row r="125">
      <c r="B125" s="13" t="n"/>
    </row>
    <row r="126">
      <c r="B126" s="13" t="n"/>
    </row>
    <row r="127">
      <c r="B127" s="13" t="n"/>
    </row>
    <row r="128">
      <c r="B128" s="13" t="n"/>
    </row>
    <row r="129">
      <c r="B129" s="13" t="n"/>
    </row>
    <row r="130">
      <c r="B130" s="13" t="n"/>
    </row>
    <row r="131">
      <c r="B131" s="13" t="n"/>
    </row>
    <row r="132">
      <c r="B132" s="13" t="n"/>
    </row>
    <row r="133">
      <c r="B133" s="13" t="n"/>
    </row>
    <row r="134">
      <c r="B134" s="13" t="n"/>
    </row>
    <row r="135">
      <c r="B135" s="13" t="n"/>
    </row>
    <row r="136">
      <c r="B136" s="13" t="n"/>
    </row>
    <row r="137">
      <c r="B137" s="13" t="n"/>
    </row>
    <row r="138">
      <c r="B138" s="13" t="n"/>
    </row>
    <row r="139">
      <c r="B139" s="13" t="n"/>
    </row>
    <row r="140">
      <c r="B140" s="13" t="n"/>
    </row>
    <row r="141">
      <c r="B141" s="13" t="n"/>
    </row>
    <row r="142">
      <c r="B142" s="13" t="n"/>
    </row>
    <row r="143">
      <c r="B143" s="13" t="n"/>
    </row>
    <row r="144">
      <c r="B144" s="13" t="n"/>
    </row>
    <row r="145">
      <c r="B145" s="13" t="n"/>
    </row>
    <row r="146">
      <c r="B146" s="13" t="n"/>
    </row>
    <row r="147">
      <c r="B147" s="13" t="n"/>
    </row>
    <row r="148">
      <c r="B148" s="13" t="n"/>
    </row>
    <row r="149">
      <c r="B149" s="13" t="n"/>
    </row>
    <row r="150">
      <c r="B150" s="13" t="n"/>
    </row>
    <row r="151">
      <c r="B151" s="13" t="n"/>
    </row>
    <row r="152">
      <c r="B152" s="13" t="n"/>
    </row>
    <row r="153">
      <c r="B153" s="13" t="n"/>
    </row>
    <row r="154">
      <c r="B154" s="13" t="n"/>
    </row>
    <row r="155">
      <c r="B155" s="13" t="n"/>
    </row>
    <row r="156">
      <c r="B156" s="13" t="n"/>
    </row>
    <row r="157">
      <c r="B157" s="13" t="n"/>
    </row>
    <row r="158">
      <c r="B158" s="13" t="n"/>
    </row>
    <row r="159">
      <c r="B159" s="13" t="n"/>
    </row>
    <row r="160">
      <c r="B160" s="13" t="n"/>
    </row>
    <row r="161">
      <c r="B161" s="13" t="n"/>
    </row>
    <row r="162">
      <c r="B162" s="13" t="n"/>
    </row>
    <row r="163">
      <c r="B163" s="13" t="n"/>
    </row>
    <row r="164">
      <c r="B164" s="13" t="n"/>
    </row>
    <row r="165">
      <c r="B165" s="13" t="n"/>
    </row>
    <row r="166">
      <c r="B166" s="13" t="n"/>
    </row>
    <row r="167">
      <c r="B167" s="13" t="n"/>
    </row>
    <row r="168">
      <c r="B168" s="13" t="n"/>
    </row>
    <row r="169">
      <c r="B169" s="13" t="n"/>
    </row>
    <row r="170">
      <c r="B170" s="13" t="n"/>
    </row>
    <row r="171">
      <c r="B171" s="13" t="n"/>
    </row>
    <row r="172">
      <c r="B172" s="13" t="n"/>
    </row>
    <row r="173">
      <c r="B173" s="13" t="n"/>
    </row>
    <row r="174">
      <c r="B174" s="13" t="n"/>
    </row>
    <row r="175">
      <c r="B175" s="13" t="n"/>
    </row>
    <row r="176">
      <c r="B176" s="13" t="n"/>
    </row>
    <row r="177">
      <c r="B177" s="13" t="n"/>
    </row>
    <row r="178">
      <c r="B178" s="13" t="n"/>
    </row>
    <row r="179">
      <c r="B179" s="13" t="n"/>
    </row>
    <row r="180">
      <c r="B180" s="13" t="n"/>
    </row>
    <row r="181">
      <c r="B181" s="13" t="n"/>
    </row>
    <row r="182">
      <c r="B182" s="13" t="n"/>
    </row>
    <row r="183">
      <c r="B183" s="13" t="n"/>
    </row>
    <row r="184">
      <c r="B184" s="13" t="n"/>
    </row>
    <row r="185">
      <c r="B185" s="13" t="n"/>
    </row>
    <row r="186">
      <c r="B186" s="13" t="n"/>
    </row>
    <row r="187">
      <c r="B187" s="13" t="n"/>
    </row>
    <row r="188">
      <c r="B188" s="13" t="n"/>
    </row>
    <row r="189">
      <c r="B189" s="13" t="n"/>
    </row>
    <row r="190">
      <c r="B190" s="13" t="n"/>
    </row>
    <row r="191">
      <c r="B191" s="13" t="n"/>
    </row>
    <row r="192">
      <c r="B192" s="13" t="n"/>
    </row>
    <row r="193">
      <c r="B193" s="13" t="n"/>
    </row>
    <row r="194">
      <c r="B194" s="13" t="n"/>
    </row>
    <row r="195">
      <c r="B195" s="13" t="n"/>
    </row>
    <row r="196">
      <c r="B196" s="13" t="n"/>
    </row>
    <row r="197">
      <c r="B197" s="13" t="n"/>
    </row>
    <row r="198">
      <c r="B198" s="13" t="n"/>
    </row>
    <row r="199">
      <c r="B199" s="13" t="n"/>
    </row>
    <row r="200">
      <c r="B200" s="13" t="n"/>
    </row>
    <row r="201">
      <c r="B201" s="13" t="n"/>
    </row>
    <row r="202">
      <c r="B202" s="13" t="n"/>
    </row>
    <row r="203">
      <c r="B203" s="13" t="n"/>
    </row>
    <row r="204">
      <c r="B204" s="13" t="n"/>
    </row>
    <row r="205">
      <c r="B205" s="13" t="n"/>
    </row>
    <row r="206">
      <c r="B206" s="13" t="n"/>
    </row>
    <row r="207">
      <c r="B207" s="13" t="n"/>
    </row>
    <row r="208">
      <c r="B208" s="13" t="n"/>
    </row>
    <row r="209">
      <c r="B209" s="13" t="n"/>
    </row>
    <row r="210">
      <c r="B210" s="13" t="n"/>
    </row>
    <row r="211">
      <c r="B211" s="13" t="n"/>
    </row>
    <row r="212">
      <c r="B212" s="13" t="n"/>
    </row>
    <row r="213">
      <c r="B213" s="13" t="n"/>
    </row>
    <row r="214">
      <c r="B214" s="13" t="n"/>
    </row>
    <row r="215">
      <c r="B215" s="13" t="n"/>
    </row>
    <row r="216">
      <c r="B216" s="13" t="n"/>
    </row>
    <row r="217">
      <c r="B217" s="13" t="n"/>
    </row>
    <row r="218">
      <c r="B218" s="13" t="n"/>
    </row>
    <row r="219">
      <c r="B219" s="13" t="n"/>
    </row>
    <row r="220">
      <c r="B220" s="13" t="n"/>
    </row>
    <row r="221">
      <c r="B221" s="13" t="n"/>
    </row>
    <row r="222">
      <c r="B222" s="13" t="n"/>
    </row>
    <row r="223">
      <c r="B223" s="13" t="n"/>
    </row>
    <row r="224">
      <c r="B224" s="13" t="n"/>
    </row>
    <row r="225">
      <c r="B225" s="13" t="n"/>
    </row>
    <row r="226">
      <c r="B226" s="13" t="n"/>
    </row>
    <row r="227">
      <c r="B227" s="13" t="n"/>
    </row>
    <row r="228">
      <c r="B228" s="13" t="n"/>
    </row>
    <row r="229">
      <c r="B229" s="13" t="n"/>
    </row>
    <row r="230">
      <c r="B230" s="13" t="n"/>
    </row>
    <row r="231">
      <c r="B231" s="13" t="n"/>
    </row>
    <row r="232">
      <c r="B232" s="13" t="n"/>
    </row>
    <row r="233">
      <c r="B233" s="13" t="n"/>
    </row>
    <row r="234">
      <c r="B234" s="13" t="n"/>
    </row>
    <row r="235">
      <c r="B235" s="13" t="n"/>
    </row>
    <row r="236">
      <c r="B236" s="13" t="n"/>
    </row>
    <row r="237">
      <c r="B237" s="13" t="n"/>
    </row>
    <row r="238">
      <c r="B238" s="13" t="n"/>
    </row>
    <row r="239">
      <c r="B239" s="13" t="n"/>
    </row>
    <row r="240">
      <c r="B240" s="13" t="n"/>
    </row>
    <row r="241">
      <c r="B241" s="13" t="n"/>
    </row>
    <row r="242">
      <c r="B242" s="13" t="n"/>
    </row>
    <row r="243">
      <c r="B243" s="13" t="n"/>
    </row>
    <row r="244">
      <c r="B244" s="13" t="n"/>
    </row>
    <row r="245">
      <c r="B245" s="13" t="n"/>
    </row>
    <row r="246">
      <c r="B246" s="13" t="n"/>
    </row>
    <row r="247">
      <c r="B247" s="13" t="n"/>
    </row>
    <row r="248">
      <c r="B248" s="13" t="n"/>
    </row>
    <row r="249">
      <c r="B249" s="13" t="n"/>
    </row>
    <row r="250">
      <c r="B250" s="13" t="n"/>
    </row>
    <row r="251">
      <c r="B251" s="13" t="n"/>
    </row>
    <row r="252">
      <c r="B252" s="13" t="n"/>
    </row>
    <row r="253">
      <c r="B253" s="13" t="n"/>
    </row>
    <row r="254">
      <c r="B254" s="13" t="n"/>
    </row>
    <row r="255">
      <c r="B255" s="13" t="n"/>
    </row>
    <row r="256">
      <c r="B256" s="13" t="n"/>
    </row>
    <row r="257">
      <c r="B257" s="13" t="n"/>
    </row>
    <row r="258">
      <c r="B258" s="13" t="n"/>
    </row>
    <row r="259">
      <c r="B259" s="13" t="n"/>
    </row>
    <row r="260">
      <c r="B260" s="13" t="n"/>
    </row>
    <row r="261">
      <c r="B261" s="13" t="n"/>
    </row>
    <row r="262">
      <c r="B262" s="13" t="n"/>
    </row>
    <row r="263">
      <c r="B263" s="13" t="n"/>
    </row>
    <row r="264">
      <c r="B264" s="13" t="n"/>
    </row>
    <row r="265">
      <c r="B265" s="13" t="n"/>
    </row>
    <row r="266">
      <c r="B266" s="13" t="n"/>
    </row>
    <row r="267">
      <c r="B267" s="13" t="n"/>
    </row>
    <row r="268">
      <c r="B268" s="13" t="n"/>
    </row>
    <row r="269">
      <c r="B269" s="13" t="n"/>
    </row>
    <row r="270">
      <c r="B270" s="13" t="n"/>
    </row>
    <row r="271">
      <c r="B271" s="13" t="n"/>
    </row>
    <row r="272">
      <c r="B272" s="13" t="n"/>
    </row>
    <row r="273">
      <c r="B273" s="13" t="n"/>
    </row>
    <row r="274">
      <c r="B274" s="13" t="n"/>
    </row>
    <row r="275">
      <c r="B275" s="13" t="n"/>
    </row>
    <row r="276">
      <c r="B276" s="13" t="n"/>
    </row>
    <row r="277">
      <c r="B277" s="13" t="n"/>
    </row>
    <row r="278">
      <c r="B278" s="13" t="n"/>
    </row>
    <row r="279">
      <c r="B279" s="13" t="n"/>
    </row>
    <row r="280">
      <c r="B280" s="13" t="n"/>
    </row>
    <row r="281">
      <c r="B281" s="13" t="n"/>
    </row>
    <row r="282">
      <c r="B282" s="13" t="n"/>
    </row>
    <row r="283">
      <c r="B283" s="13" t="n"/>
    </row>
    <row r="284">
      <c r="B284" s="13" t="n"/>
    </row>
    <row r="285">
      <c r="B285" s="13" t="n"/>
    </row>
    <row r="286">
      <c r="B286" s="13" t="n"/>
    </row>
    <row r="287">
      <c r="B287" s="13" t="n"/>
    </row>
    <row r="288">
      <c r="B288" s="13" t="n"/>
    </row>
    <row r="289">
      <c r="B289" s="13" t="n"/>
    </row>
    <row r="290">
      <c r="B290" s="13" t="n"/>
    </row>
    <row r="291">
      <c r="B291" s="13" t="n"/>
    </row>
    <row r="292">
      <c r="B292" s="13" t="n"/>
    </row>
    <row r="293">
      <c r="B293" s="13" t="n"/>
    </row>
    <row r="294">
      <c r="B294" s="13" t="n"/>
    </row>
    <row r="295">
      <c r="B295" s="13" t="n"/>
    </row>
    <row r="296">
      <c r="B296" s="13" t="n"/>
    </row>
    <row r="297">
      <c r="B297" s="13" t="n"/>
    </row>
    <row r="298">
      <c r="B298" s="13" t="n"/>
    </row>
    <row r="299">
      <c r="B299" s="13" t="n"/>
    </row>
    <row r="300">
      <c r="B300" s="13" t="n"/>
    </row>
    <row r="301">
      <c r="B301" s="13" t="n"/>
    </row>
    <row r="302">
      <c r="B302" s="13" t="n"/>
    </row>
    <row r="303">
      <c r="B303" s="13" t="n"/>
    </row>
    <row r="304">
      <c r="B304" s="13" t="n"/>
    </row>
    <row r="305">
      <c r="B305" s="13" t="n"/>
    </row>
    <row r="306">
      <c r="B306" s="13" t="n"/>
    </row>
    <row r="307">
      <c r="B307" s="13" t="n"/>
    </row>
    <row r="308">
      <c r="B308" s="13" t="n"/>
    </row>
    <row r="309">
      <c r="B309" s="13" t="n"/>
    </row>
    <row r="310">
      <c r="B310" s="13" t="n"/>
    </row>
    <row r="311">
      <c r="B311" s="13" t="n"/>
    </row>
    <row r="312">
      <c r="B312" s="13" t="n"/>
    </row>
    <row r="313">
      <c r="B313" s="13" t="n"/>
    </row>
    <row r="314">
      <c r="B314" s="13" t="n"/>
    </row>
    <row r="315">
      <c r="B315" s="13" t="n"/>
    </row>
    <row r="316">
      <c r="B316" s="13" t="n"/>
    </row>
    <row r="317">
      <c r="B317" s="13" t="n"/>
    </row>
    <row r="318">
      <c r="B318" s="13" t="n"/>
    </row>
    <row r="319">
      <c r="B319" s="13" t="n"/>
    </row>
    <row r="320">
      <c r="B320" s="13" t="n"/>
    </row>
    <row r="321">
      <c r="B321" s="13" t="n"/>
    </row>
    <row r="322">
      <c r="B322" s="13" t="n"/>
    </row>
    <row r="323">
      <c r="B323" s="13" t="n"/>
    </row>
    <row r="324">
      <c r="B324" s="13" t="n"/>
    </row>
    <row r="325">
      <c r="B325" s="13" t="n"/>
    </row>
    <row r="326">
      <c r="B326" s="13" t="n"/>
    </row>
    <row r="327">
      <c r="B327" s="13" t="n"/>
    </row>
    <row r="328">
      <c r="B328" s="13" t="n"/>
    </row>
    <row r="329">
      <c r="B329" s="13" t="n"/>
    </row>
    <row r="330">
      <c r="B330" s="13" t="n"/>
    </row>
    <row r="331">
      <c r="B331" s="13" t="n"/>
    </row>
    <row r="332">
      <c r="B332" s="13" t="n"/>
    </row>
    <row r="333">
      <c r="B333" s="13" t="n"/>
    </row>
    <row r="334">
      <c r="B334" s="13" t="n"/>
    </row>
    <row r="335">
      <c r="B335" s="13" t="n"/>
    </row>
    <row r="336">
      <c r="B336" s="13" t="n"/>
    </row>
    <row r="337">
      <c r="B337" s="13" t="n"/>
    </row>
    <row r="338">
      <c r="B338" s="13" t="n"/>
    </row>
    <row r="339">
      <c r="B339" s="13" t="n"/>
    </row>
    <row r="340">
      <c r="B340" s="13" t="n"/>
    </row>
    <row r="341">
      <c r="B341" s="13" t="n"/>
    </row>
    <row r="342">
      <c r="B342" s="13" t="n"/>
    </row>
    <row r="343">
      <c r="B343" s="13" t="n"/>
    </row>
    <row r="344">
      <c r="B344" s="13" t="n"/>
    </row>
    <row r="345">
      <c r="B345" s="13" t="n"/>
    </row>
    <row r="346">
      <c r="B346" s="13" t="n"/>
    </row>
    <row r="347">
      <c r="B347" s="13" t="n"/>
    </row>
    <row r="348">
      <c r="B348" s="13" t="n"/>
    </row>
    <row r="349">
      <c r="B349" s="13" t="n"/>
    </row>
    <row r="350">
      <c r="B350" s="13" t="n"/>
    </row>
    <row r="351">
      <c r="B351" s="13" t="n"/>
    </row>
    <row r="352">
      <c r="B352" s="13" t="n"/>
    </row>
    <row r="353">
      <c r="B353" s="13" t="n"/>
    </row>
    <row r="354">
      <c r="B354" s="13" t="n"/>
    </row>
    <row r="355">
      <c r="B355" s="13" t="n"/>
    </row>
    <row r="356">
      <c r="B356" s="13" t="n"/>
    </row>
    <row r="357">
      <c r="B357" s="13" t="n"/>
    </row>
    <row r="358">
      <c r="B358" s="13" t="n"/>
    </row>
    <row r="359">
      <c r="B359" s="13" t="n"/>
    </row>
    <row r="360">
      <c r="B360" s="13" t="n"/>
    </row>
    <row r="361">
      <c r="B361" s="13" t="n"/>
    </row>
    <row r="362">
      <c r="B362" s="13" t="n"/>
    </row>
    <row r="363">
      <c r="B363" s="13" t="n"/>
    </row>
    <row r="364">
      <c r="B364" s="13" t="n"/>
    </row>
    <row r="365">
      <c r="B365" s="13" t="n"/>
    </row>
    <row r="366">
      <c r="B366" s="13" t="n"/>
    </row>
    <row r="367">
      <c r="B367" s="13" t="n"/>
    </row>
    <row r="368">
      <c r="B368" s="13" t="n"/>
    </row>
    <row r="369">
      <c r="B369" s="13" t="n"/>
    </row>
    <row r="370">
      <c r="B370" s="13" t="n"/>
    </row>
    <row r="371">
      <c r="B371" s="13" t="n"/>
    </row>
    <row r="372">
      <c r="B372" s="13" t="n"/>
    </row>
    <row r="373">
      <c r="B373" s="13" t="n"/>
    </row>
    <row r="374">
      <c r="B374" s="13" t="n"/>
    </row>
    <row r="375">
      <c r="B375" s="13" t="n"/>
    </row>
    <row r="376">
      <c r="B376" s="13" t="n"/>
    </row>
    <row r="377">
      <c r="B377" s="13" t="n"/>
    </row>
    <row r="378">
      <c r="B378" s="13" t="n"/>
    </row>
    <row r="379">
      <c r="B379" s="13" t="n"/>
    </row>
    <row r="380">
      <c r="B380" s="13" t="n"/>
    </row>
    <row r="381">
      <c r="B381" s="13" t="n"/>
    </row>
    <row r="382">
      <c r="B382" s="13" t="n"/>
    </row>
    <row r="383">
      <c r="B383" s="13" t="n"/>
    </row>
    <row r="384">
      <c r="B384" s="13" t="n"/>
    </row>
    <row r="385">
      <c r="B385" s="13" t="n"/>
    </row>
    <row r="386">
      <c r="B386" s="13" t="n"/>
    </row>
    <row r="387">
      <c r="B387" s="13" t="n"/>
    </row>
    <row r="388">
      <c r="B388" s="13" t="n"/>
    </row>
    <row r="389">
      <c r="B389" s="13" t="n"/>
    </row>
    <row r="390">
      <c r="B390" s="13" t="n"/>
    </row>
    <row r="391">
      <c r="B391" s="13" t="n"/>
    </row>
    <row r="392">
      <c r="B392" s="13" t="n"/>
    </row>
    <row r="393">
      <c r="B393" s="13" t="n"/>
    </row>
    <row r="394">
      <c r="B394" s="13" t="n"/>
    </row>
    <row r="395">
      <c r="B395" s="13" t="n"/>
    </row>
    <row r="396">
      <c r="B396" s="13" t="n"/>
    </row>
    <row r="397">
      <c r="B397" s="13" t="n"/>
    </row>
    <row r="398">
      <c r="B398" s="13" t="n"/>
    </row>
    <row r="399">
      <c r="B399" s="13" t="n"/>
    </row>
    <row r="400">
      <c r="B400" s="13" t="n"/>
    </row>
    <row r="401">
      <c r="B401" s="13" t="n"/>
    </row>
    <row r="402">
      <c r="B402" s="13" t="n"/>
    </row>
    <row r="403">
      <c r="B403" s="13" t="n"/>
    </row>
    <row r="404">
      <c r="B404" s="13" t="n"/>
    </row>
    <row r="405">
      <c r="B405" s="13" t="n"/>
    </row>
    <row r="406">
      <c r="B406" s="13" t="n"/>
    </row>
    <row r="407">
      <c r="B407" s="13" t="n"/>
    </row>
    <row r="408">
      <c r="B408" s="13" t="n"/>
    </row>
    <row r="409">
      <c r="B409" s="13" t="n"/>
    </row>
    <row r="410">
      <c r="B410" s="13" t="n"/>
    </row>
    <row r="411">
      <c r="B411" s="13" t="n"/>
    </row>
    <row r="412">
      <c r="B412" s="13" t="n"/>
    </row>
    <row r="413">
      <c r="B413" s="13" t="n"/>
    </row>
    <row r="414">
      <c r="B414" s="13" t="n"/>
    </row>
    <row r="415">
      <c r="B415" s="13" t="n"/>
    </row>
    <row r="416">
      <c r="B416" s="13" t="n"/>
    </row>
    <row r="417">
      <c r="B417" s="13" t="n"/>
    </row>
    <row r="418">
      <c r="B418" s="13" t="n"/>
    </row>
    <row r="419">
      <c r="B419" s="13" t="n"/>
    </row>
    <row r="420">
      <c r="B420" s="13" t="n"/>
    </row>
    <row r="421">
      <c r="B421" s="13" t="n"/>
    </row>
    <row r="422">
      <c r="B422" s="13" t="n"/>
    </row>
    <row r="423">
      <c r="B423" s="13" t="n"/>
    </row>
    <row r="424">
      <c r="B424" s="13" t="n"/>
    </row>
    <row r="425">
      <c r="B425" s="13" t="n"/>
    </row>
    <row r="426">
      <c r="B426" s="13" t="n"/>
    </row>
    <row r="427">
      <c r="B427" s="13" t="n"/>
    </row>
    <row r="428">
      <c r="B428" s="13" t="n"/>
    </row>
    <row r="429">
      <c r="B429" s="13" t="n"/>
    </row>
    <row r="430">
      <c r="B430" s="13" t="n"/>
    </row>
    <row r="431">
      <c r="B431" s="13" t="n"/>
    </row>
    <row r="432">
      <c r="B432" s="13" t="n"/>
    </row>
    <row r="433">
      <c r="B433" s="13" t="n"/>
    </row>
    <row r="434">
      <c r="B434" s="13" t="n"/>
    </row>
    <row r="435">
      <c r="B435" s="13" t="n"/>
    </row>
    <row r="436">
      <c r="B436" s="13" t="n"/>
    </row>
    <row r="437">
      <c r="B437" s="13" t="n"/>
    </row>
    <row r="438">
      <c r="B438" s="13" t="n"/>
    </row>
    <row r="439">
      <c r="B439" s="13" t="n"/>
    </row>
    <row r="440">
      <c r="B440" s="13" t="n"/>
    </row>
    <row r="441">
      <c r="B441" s="13" t="n"/>
    </row>
    <row r="442">
      <c r="B442" s="13" t="n"/>
    </row>
    <row r="443">
      <c r="B443" s="13" t="n"/>
    </row>
    <row r="444">
      <c r="B444" s="13" t="n"/>
    </row>
    <row r="445">
      <c r="B445" s="13" t="n"/>
    </row>
    <row r="446">
      <c r="B446" s="13" t="n"/>
    </row>
    <row r="447">
      <c r="B447" s="13" t="n"/>
    </row>
    <row r="448">
      <c r="B448" s="13" t="n"/>
    </row>
    <row r="449">
      <c r="B449" s="13" t="n"/>
    </row>
    <row r="450">
      <c r="B450" s="13" t="n"/>
    </row>
    <row r="451">
      <c r="B451" s="13" t="n"/>
    </row>
    <row r="452">
      <c r="B452" s="13" t="n"/>
    </row>
    <row r="453">
      <c r="B453" s="13" t="n"/>
    </row>
    <row r="454">
      <c r="B454" s="13" t="n"/>
    </row>
    <row r="455">
      <c r="B455" s="13" t="n"/>
    </row>
    <row r="456">
      <c r="B456" s="13" t="n"/>
    </row>
    <row r="457">
      <c r="B457" s="13" t="n"/>
    </row>
    <row r="458">
      <c r="B458" s="13" t="n"/>
    </row>
    <row r="459">
      <c r="B459" s="13" t="n"/>
    </row>
    <row r="460">
      <c r="B460" s="13" t="n"/>
    </row>
    <row r="461">
      <c r="B461" s="13" t="n"/>
    </row>
    <row r="462">
      <c r="B462" s="13" t="n"/>
    </row>
    <row r="463">
      <c r="B463" s="13" t="n"/>
    </row>
    <row r="464">
      <c r="B464" s="13" t="n"/>
    </row>
    <row r="465">
      <c r="B465" s="13" t="n"/>
    </row>
    <row r="466">
      <c r="B466" s="13" t="n"/>
    </row>
    <row r="467">
      <c r="B467" s="13" t="n"/>
    </row>
    <row r="468">
      <c r="B468" s="13" t="n"/>
    </row>
    <row r="469">
      <c r="B469" s="13" t="n"/>
    </row>
    <row r="470">
      <c r="B470" s="13" t="n"/>
    </row>
    <row r="471">
      <c r="B471" s="13" t="n"/>
    </row>
    <row r="472">
      <c r="B472" s="13" t="n"/>
    </row>
    <row r="473">
      <c r="B473" s="13" t="n"/>
    </row>
    <row r="474">
      <c r="B474" s="13" t="n"/>
    </row>
    <row r="475">
      <c r="B475" s="13" t="n"/>
    </row>
    <row r="476">
      <c r="B476" s="13" t="n"/>
    </row>
    <row r="477">
      <c r="B477" s="13" t="n"/>
    </row>
    <row r="478">
      <c r="B478" s="13" t="n"/>
    </row>
    <row r="479">
      <c r="B479" s="13" t="n"/>
    </row>
    <row r="480">
      <c r="B480" s="13" t="n"/>
    </row>
    <row r="481">
      <c r="B481" s="13" t="n"/>
    </row>
    <row r="482">
      <c r="B482" s="13" t="n"/>
    </row>
    <row r="483">
      <c r="B483" s="13" t="n"/>
    </row>
    <row r="484">
      <c r="B484" s="13" t="n"/>
    </row>
    <row r="485">
      <c r="B485" s="13" t="n"/>
    </row>
    <row r="486">
      <c r="B486" s="13" t="n"/>
    </row>
    <row r="487">
      <c r="B487" s="13" t="n"/>
    </row>
    <row r="488">
      <c r="B488" s="13" t="n"/>
    </row>
    <row r="489">
      <c r="B489" s="13" t="n"/>
    </row>
    <row r="490">
      <c r="B490" s="13" t="n"/>
    </row>
    <row r="491">
      <c r="B491" s="13" t="n"/>
    </row>
    <row r="492">
      <c r="B492" s="13" t="n"/>
    </row>
    <row r="493">
      <c r="B493" s="13" t="n"/>
    </row>
    <row r="494">
      <c r="B494" s="13" t="n"/>
    </row>
    <row r="495">
      <c r="B495" s="13" t="n"/>
    </row>
    <row r="496">
      <c r="B496" s="13" t="n"/>
    </row>
    <row r="497">
      <c r="B497" s="13" t="n"/>
    </row>
    <row r="498">
      <c r="B498" s="13" t="n"/>
    </row>
    <row r="499">
      <c r="B499" s="13" t="n"/>
    </row>
    <row r="500">
      <c r="B500" s="13" t="n"/>
    </row>
    <row r="501">
      <c r="B501" s="13" t="n"/>
    </row>
    <row r="502">
      <c r="B502" s="13" t="n"/>
    </row>
    <row r="503">
      <c r="B503" s="13" t="n"/>
    </row>
  </sheetData>
  <autoFilter ref="A3:I503"/>
  <mergeCells count="1">
    <mergeCell ref="A1:I1"/>
  </mergeCells>
  <dataValidations count="1">
    <dataValidation sqref="I4:I503" showDropDown="0" showInputMessage="0" showErrorMessage="0" allowBlank="1" type="list">
      <formula1>"Presente,Retardo,Falta,Justificada"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5" customWidth="1" min="4" max="4"/>
    <col width="18" customWidth="1" min="5" max="5"/>
    <col width="18" customWidth="1" min="6" max="6"/>
    <col width="35" customWidth="1" min="7" max="7"/>
    <col width="35" customWidth="1" min="8" max="8"/>
  </cols>
  <sheetData>
    <row r="1" ht="32" customHeight="1">
      <c r="A1" s="1" t="inlineStr">
        <is>
          <t>CREDENCIALES DIGITALES / QR</t>
        </is>
      </c>
    </row>
    <row r="2">
      <c r="A2" s="8" t="inlineStr">
        <is>
          <t>Para una versión digital, el campo Token/QR puede guardar el identificador del QR. No coloques datos sensibles dentro del QR.</t>
        </is>
      </c>
    </row>
    <row r="3">
      <c r="A3" s="9" t="inlineStr">
        <is>
          <t>Matrícula</t>
        </is>
      </c>
      <c r="B3" s="9" t="inlineStr">
        <is>
          <t>Alumno</t>
        </is>
      </c>
      <c r="C3" s="9" t="inlineStr">
        <is>
          <t>Disciplina</t>
        </is>
      </c>
      <c r="D3" s="9" t="inlineStr">
        <is>
          <t>Estatus</t>
        </is>
      </c>
      <c r="E3" s="9" t="inlineStr">
        <is>
          <t>Fecha emisión</t>
        </is>
      </c>
      <c r="F3" s="9" t="inlineStr">
        <is>
          <t>Vigencia</t>
        </is>
      </c>
      <c r="G3" s="9" t="inlineStr">
        <is>
          <t>Token/QR</t>
        </is>
      </c>
      <c r="H3" s="9" t="inlineStr">
        <is>
          <t>Observaciones</t>
        </is>
      </c>
    </row>
    <row r="4">
      <c r="E4" s="13" t="n"/>
      <c r="F4" s="13" t="n"/>
    </row>
    <row r="5">
      <c r="E5" s="13" t="n"/>
      <c r="F5" s="13" t="n"/>
    </row>
    <row r="6">
      <c r="E6" s="13" t="n"/>
      <c r="F6" s="13" t="n"/>
    </row>
    <row r="7">
      <c r="E7" s="13" t="n"/>
      <c r="F7" s="13" t="n"/>
    </row>
    <row r="8">
      <c r="E8" s="13" t="n"/>
      <c r="F8" s="13" t="n"/>
    </row>
    <row r="9">
      <c r="E9" s="13" t="n"/>
      <c r="F9" s="13" t="n"/>
    </row>
    <row r="10">
      <c r="E10" s="13" t="n"/>
      <c r="F10" s="13" t="n"/>
    </row>
    <row r="11">
      <c r="E11" s="13" t="n"/>
      <c r="F11" s="13" t="n"/>
    </row>
    <row r="12">
      <c r="E12" s="13" t="n"/>
      <c r="F12" s="13" t="n"/>
    </row>
    <row r="13">
      <c r="E13" s="13" t="n"/>
      <c r="F13" s="13" t="n"/>
    </row>
    <row r="14">
      <c r="E14" s="13" t="n"/>
      <c r="F14" s="13" t="n"/>
    </row>
    <row r="15">
      <c r="E15" s="13" t="n"/>
      <c r="F15" s="13" t="n"/>
    </row>
    <row r="16">
      <c r="E16" s="13" t="n"/>
      <c r="F16" s="13" t="n"/>
    </row>
    <row r="17">
      <c r="E17" s="13" t="n"/>
      <c r="F17" s="13" t="n"/>
    </row>
    <row r="18">
      <c r="E18" s="13" t="n"/>
      <c r="F18" s="13" t="n"/>
    </row>
    <row r="19">
      <c r="E19" s="13" t="n"/>
      <c r="F19" s="13" t="n"/>
    </row>
    <row r="20">
      <c r="E20" s="13" t="n"/>
      <c r="F20" s="13" t="n"/>
    </row>
    <row r="21">
      <c r="E21" s="13" t="n"/>
      <c r="F21" s="13" t="n"/>
    </row>
    <row r="22">
      <c r="E22" s="13" t="n"/>
      <c r="F22" s="13" t="n"/>
    </row>
    <row r="23">
      <c r="E23" s="13" t="n"/>
      <c r="F23" s="13" t="n"/>
    </row>
    <row r="24">
      <c r="E24" s="13" t="n"/>
      <c r="F24" s="13" t="n"/>
    </row>
    <row r="25">
      <c r="E25" s="13" t="n"/>
      <c r="F25" s="13" t="n"/>
    </row>
    <row r="26">
      <c r="E26" s="13" t="n"/>
      <c r="F26" s="13" t="n"/>
    </row>
    <row r="27">
      <c r="E27" s="13" t="n"/>
      <c r="F27" s="13" t="n"/>
    </row>
    <row r="28">
      <c r="E28" s="13" t="n"/>
      <c r="F28" s="13" t="n"/>
    </row>
    <row r="29">
      <c r="E29" s="13" t="n"/>
      <c r="F29" s="13" t="n"/>
    </row>
    <row r="30">
      <c r="E30" s="13" t="n"/>
      <c r="F30" s="13" t="n"/>
    </row>
    <row r="31">
      <c r="E31" s="13" t="n"/>
      <c r="F31" s="13" t="n"/>
    </row>
    <row r="32">
      <c r="E32" s="13" t="n"/>
      <c r="F32" s="13" t="n"/>
    </row>
    <row r="33">
      <c r="E33" s="13" t="n"/>
      <c r="F33" s="13" t="n"/>
    </row>
    <row r="34">
      <c r="E34" s="13" t="n"/>
      <c r="F34" s="13" t="n"/>
    </row>
    <row r="35">
      <c r="E35" s="13" t="n"/>
      <c r="F35" s="13" t="n"/>
    </row>
    <row r="36">
      <c r="E36" s="13" t="n"/>
      <c r="F36" s="13" t="n"/>
    </row>
    <row r="37">
      <c r="E37" s="13" t="n"/>
      <c r="F37" s="13" t="n"/>
    </row>
    <row r="38">
      <c r="E38" s="13" t="n"/>
      <c r="F38" s="13" t="n"/>
    </row>
    <row r="39">
      <c r="E39" s="13" t="n"/>
      <c r="F39" s="13" t="n"/>
    </row>
    <row r="40">
      <c r="E40" s="13" t="n"/>
      <c r="F40" s="13" t="n"/>
    </row>
    <row r="41">
      <c r="E41" s="13" t="n"/>
      <c r="F41" s="13" t="n"/>
    </row>
    <row r="42">
      <c r="E42" s="13" t="n"/>
      <c r="F42" s="13" t="n"/>
    </row>
    <row r="43">
      <c r="E43" s="13" t="n"/>
      <c r="F43" s="13" t="n"/>
    </row>
    <row r="44">
      <c r="E44" s="13" t="n"/>
      <c r="F44" s="13" t="n"/>
    </row>
    <row r="45">
      <c r="E45" s="13" t="n"/>
      <c r="F45" s="13" t="n"/>
    </row>
    <row r="46">
      <c r="E46" s="13" t="n"/>
      <c r="F46" s="13" t="n"/>
    </row>
    <row r="47">
      <c r="E47" s="13" t="n"/>
      <c r="F47" s="13" t="n"/>
    </row>
    <row r="48">
      <c r="E48" s="13" t="n"/>
      <c r="F48" s="13" t="n"/>
    </row>
    <row r="49">
      <c r="E49" s="13" t="n"/>
      <c r="F49" s="13" t="n"/>
    </row>
    <row r="50">
      <c r="E50" s="13" t="n"/>
      <c r="F50" s="13" t="n"/>
    </row>
    <row r="51">
      <c r="E51" s="13" t="n"/>
      <c r="F51" s="13" t="n"/>
    </row>
    <row r="52">
      <c r="E52" s="13" t="n"/>
      <c r="F52" s="13" t="n"/>
    </row>
    <row r="53">
      <c r="E53" s="13" t="n"/>
      <c r="F53" s="13" t="n"/>
    </row>
    <row r="54">
      <c r="E54" s="13" t="n"/>
      <c r="F54" s="13" t="n"/>
    </row>
    <row r="55">
      <c r="E55" s="13" t="n"/>
      <c r="F55" s="13" t="n"/>
    </row>
    <row r="56">
      <c r="E56" s="13" t="n"/>
      <c r="F56" s="13" t="n"/>
    </row>
    <row r="57">
      <c r="E57" s="13" t="n"/>
      <c r="F57" s="13" t="n"/>
    </row>
    <row r="58">
      <c r="E58" s="13" t="n"/>
      <c r="F58" s="13" t="n"/>
    </row>
    <row r="59">
      <c r="E59" s="13" t="n"/>
      <c r="F59" s="13" t="n"/>
    </row>
    <row r="60">
      <c r="E60" s="13" t="n"/>
      <c r="F60" s="13" t="n"/>
    </row>
    <row r="61">
      <c r="E61" s="13" t="n"/>
      <c r="F61" s="13" t="n"/>
    </row>
    <row r="62">
      <c r="E62" s="13" t="n"/>
      <c r="F62" s="13" t="n"/>
    </row>
    <row r="63">
      <c r="E63" s="13" t="n"/>
      <c r="F63" s="13" t="n"/>
    </row>
    <row r="64">
      <c r="E64" s="13" t="n"/>
      <c r="F64" s="13" t="n"/>
    </row>
    <row r="65">
      <c r="E65" s="13" t="n"/>
      <c r="F65" s="13" t="n"/>
    </row>
    <row r="66">
      <c r="E66" s="13" t="n"/>
      <c r="F66" s="13" t="n"/>
    </row>
    <row r="67">
      <c r="E67" s="13" t="n"/>
      <c r="F67" s="13" t="n"/>
    </row>
    <row r="68">
      <c r="E68" s="13" t="n"/>
      <c r="F68" s="13" t="n"/>
    </row>
    <row r="69">
      <c r="E69" s="13" t="n"/>
      <c r="F69" s="13" t="n"/>
    </row>
    <row r="70">
      <c r="E70" s="13" t="n"/>
      <c r="F70" s="13" t="n"/>
    </row>
    <row r="71">
      <c r="E71" s="13" t="n"/>
      <c r="F71" s="13" t="n"/>
    </row>
    <row r="72">
      <c r="E72" s="13" t="n"/>
      <c r="F72" s="13" t="n"/>
    </row>
    <row r="73">
      <c r="E73" s="13" t="n"/>
      <c r="F73" s="13" t="n"/>
    </row>
    <row r="74">
      <c r="E74" s="13" t="n"/>
      <c r="F74" s="13" t="n"/>
    </row>
    <row r="75">
      <c r="E75" s="13" t="n"/>
      <c r="F75" s="13" t="n"/>
    </row>
    <row r="76">
      <c r="E76" s="13" t="n"/>
      <c r="F76" s="13" t="n"/>
    </row>
    <row r="77">
      <c r="E77" s="13" t="n"/>
      <c r="F77" s="13" t="n"/>
    </row>
    <row r="78">
      <c r="E78" s="13" t="n"/>
      <c r="F78" s="13" t="n"/>
    </row>
    <row r="79">
      <c r="E79" s="13" t="n"/>
      <c r="F79" s="13" t="n"/>
    </row>
    <row r="80">
      <c r="E80" s="13" t="n"/>
      <c r="F80" s="13" t="n"/>
    </row>
    <row r="81">
      <c r="E81" s="13" t="n"/>
      <c r="F81" s="13" t="n"/>
    </row>
    <row r="82">
      <c r="E82" s="13" t="n"/>
      <c r="F82" s="13" t="n"/>
    </row>
    <row r="83">
      <c r="E83" s="13" t="n"/>
      <c r="F83" s="13" t="n"/>
    </row>
    <row r="84">
      <c r="E84" s="13" t="n"/>
      <c r="F84" s="13" t="n"/>
    </row>
    <row r="85">
      <c r="E85" s="13" t="n"/>
      <c r="F85" s="13" t="n"/>
    </row>
    <row r="86">
      <c r="E86" s="13" t="n"/>
      <c r="F86" s="13" t="n"/>
    </row>
    <row r="87">
      <c r="E87" s="13" t="n"/>
      <c r="F87" s="13" t="n"/>
    </row>
    <row r="88">
      <c r="E88" s="13" t="n"/>
      <c r="F88" s="13" t="n"/>
    </row>
    <row r="89">
      <c r="E89" s="13" t="n"/>
      <c r="F89" s="13" t="n"/>
    </row>
    <row r="90">
      <c r="E90" s="13" t="n"/>
      <c r="F90" s="13" t="n"/>
    </row>
    <row r="91">
      <c r="E91" s="13" t="n"/>
      <c r="F91" s="13" t="n"/>
    </row>
    <row r="92">
      <c r="E92" s="13" t="n"/>
      <c r="F92" s="13" t="n"/>
    </row>
    <row r="93">
      <c r="E93" s="13" t="n"/>
      <c r="F93" s="13" t="n"/>
    </row>
    <row r="94">
      <c r="E94" s="13" t="n"/>
      <c r="F94" s="13" t="n"/>
    </row>
    <row r="95">
      <c r="E95" s="13" t="n"/>
      <c r="F95" s="13" t="n"/>
    </row>
    <row r="96">
      <c r="E96" s="13" t="n"/>
      <c r="F96" s="13" t="n"/>
    </row>
    <row r="97">
      <c r="E97" s="13" t="n"/>
      <c r="F97" s="13" t="n"/>
    </row>
    <row r="98">
      <c r="E98" s="13" t="n"/>
      <c r="F98" s="13" t="n"/>
    </row>
    <row r="99">
      <c r="E99" s="13" t="n"/>
      <c r="F99" s="13" t="n"/>
    </row>
    <row r="100">
      <c r="E100" s="13" t="n"/>
      <c r="F100" s="13" t="n"/>
    </row>
    <row r="101">
      <c r="E101" s="13" t="n"/>
      <c r="F101" s="13" t="n"/>
    </row>
    <row r="102">
      <c r="E102" s="13" t="n"/>
      <c r="F102" s="13" t="n"/>
    </row>
    <row r="103">
      <c r="E103" s="13" t="n"/>
      <c r="F103" s="13" t="n"/>
    </row>
    <row r="104">
      <c r="E104" s="13" t="n"/>
      <c r="F104" s="13" t="n"/>
    </row>
    <row r="105">
      <c r="E105" s="13" t="n"/>
      <c r="F105" s="13" t="n"/>
    </row>
    <row r="106">
      <c r="E106" s="13" t="n"/>
      <c r="F106" s="13" t="n"/>
    </row>
    <row r="107">
      <c r="E107" s="13" t="n"/>
      <c r="F107" s="13" t="n"/>
    </row>
    <row r="108">
      <c r="E108" s="13" t="n"/>
      <c r="F108" s="13" t="n"/>
    </row>
    <row r="109">
      <c r="E109" s="13" t="n"/>
      <c r="F109" s="13" t="n"/>
    </row>
    <row r="110">
      <c r="E110" s="13" t="n"/>
      <c r="F110" s="13" t="n"/>
    </row>
    <row r="111">
      <c r="E111" s="13" t="n"/>
      <c r="F111" s="13" t="n"/>
    </row>
    <row r="112">
      <c r="E112" s="13" t="n"/>
      <c r="F112" s="13" t="n"/>
    </row>
    <row r="113">
      <c r="E113" s="13" t="n"/>
      <c r="F113" s="13" t="n"/>
    </row>
    <row r="114">
      <c r="E114" s="13" t="n"/>
      <c r="F114" s="13" t="n"/>
    </row>
    <row r="115">
      <c r="E115" s="13" t="n"/>
      <c r="F115" s="13" t="n"/>
    </row>
    <row r="116">
      <c r="E116" s="13" t="n"/>
      <c r="F116" s="13" t="n"/>
    </row>
    <row r="117">
      <c r="E117" s="13" t="n"/>
      <c r="F117" s="13" t="n"/>
    </row>
    <row r="118">
      <c r="E118" s="13" t="n"/>
      <c r="F118" s="13" t="n"/>
    </row>
    <row r="119">
      <c r="E119" s="13" t="n"/>
      <c r="F119" s="13" t="n"/>
    </row>
    <row r="120">
      <c r="E120" s="13" t="n"/>
      <c r="F120" s="13" t="n"/>
    </row>
    <row r="121">
      <c r="E121" s="13" t="n"/>
      <c r="F121" s="13" t="n"/>
    </row>
    <row r="122">
      <c r="E122" s="13" t="n"/>
      <c r="F122" s="13" t="n"/>
    </row>
    <row r="123">
      <c r="E123" s="13" t="n"/>
      <c r="F123" s="13" t="n"/>
    </row>
    <row r="124">
      <c r="E124" s="13" t="n"/>
      <c r="F124" s="13" t="n"/>
    </row>
    <row r="125">
      <c r="E125" s="13" t="n"/>
      <c r="F125" s="13" t="n"/>
    </row>
    <row r="126">
      <c r="E126" s="13" t="n"/>
      <c r="F126" s="13" t="n"/>
    </row>
    <row r="127">
      <c r="E127" s="13" t="n"/>
      <c r="F127" s="13" t="n"/>
    </row>
    <row r="128">
      <c r="E128" s="13" t="n"/>
      <c r="F128" s="13" t="n"/>
    </row>
    <row r="129">
      <c r="E129" s="13" t="n"/>
      <c r="F129" s="13" t="n"/>
    </row>
    <row r="130">
      <c r="E130" s="13" t="n"/>
      <c r="F130" s="13" t="n"/>
    </row>
    <row r="131">
      <c r="E131" s="13" t="n"/>
      <c r="F131" s="13" t="n"/>
    </row>
    <row r="132">
      <c r="E132" s="13" t="n"/>
      <c r="F132" s="13" t="n"/>
    </row>
    <row r="133">
      <c r="E133" s="13" t="n"/>
      <c r="F133" s="13" t="n"/>
    </row>
    <row r="134">
      <c r="E134" s="13" t="n"/>
      <c r="F134" s="13" t="n"/>
    </row>
    <row r="135">
      <c r="E135" s="13" t="n"/>
      <c r="F135" s="13" t="n"/>
    </row>
    <row r="136">
      <c r="E136" s="13" t="n"/>
      <c r="F136" s="13" t="n"/>
    </row>
    <row r="137">
      <c r="E137" s="13" t="n"/>
      <c r="F137" s="13" t="n"/>
    </row>
    <row r="138">
      <c r="E138" s="13" t="n"/>
      <c r="F138" s="13" t="n"/>
    </row>
    <row r="139">
      <c r="E139" s="13" t="n"/>
      <c r="F139" s="13" t="n"/>
    </row>
    <row r="140">
      <c r="E140" s="13" t="n"/>
      <c r="F140" s="13" t="n"/>
    </row>
    <row r="141">
      <c r="E141" s="13" t="n"/>
      <c r="F141" s="13" t="n"/>
    </row>
    <row r="142">
      <c r="E142" s="13" t="n"/>
      <c r="F142" s="13" t="n"/>
    </row>
    <row r="143">
      <c r="E143" s="13" t="n"/>
      <c r="F143" s="13" t="n"/>
    </row>
    <row r="144">
      <c r="E144" s="13" t="n"/>
      <c r="F144" s="13" t="n"/>
    </row>
    <row r="145">
      <c r="E145" s="13" t="n"/>
      <c r="F145" s="13" t="n"/>
    </row>
    <row r="146">
      <c r="E146" s="13" t="n"/>
      <c r="F146" s="13" t="n"/>
    </row>
    <row r="147">
      <c r="E147" s="13" t="n"/>
      <c r="F147" s="13" t="n"/>
    </row>
    <row r="148">
      <c r="E148" s="13" t="n"/>
      <c r="F148" s="13" t="n"/>
    </row>
    <row r="149">
      <c r="E149" s="13" t="n"/>
      <c r="F149" s="13" t="n"/>
    </row>
    <row r="150">
      <c r="E150" s="13" t="n"/>
      <c r="F150" s="13" t="n"/>
    </row>
    <row r="151">
      <c r="E151" s="13" t="n"/>
      <c r="F151" s="13" t="n"/>
    </row>
    <row r="152">
      <c r="E152" s="13" t="n"/>
      <c r="F152" s="13" t="n"/>
    </row>
    <row r="153">
      <c r="E153" s="13" t="n"/>
      <c r="F153" s="13" t="n"/>
    </row>
    <row r="154">
      <c r="E154" s="13" t="n"/>
      <c r="F154" s="13" t="n"/>
    </row>
    <row r="155">
      <c r="E155" s="13" t="n"/>
      <c r="F155" s="13" t="n"/>
    </row>
    <row r="156">
      <c r="E156" s="13" t="n"/>
      <c r="F156" s="13" t="n"/>
    </row>
    <row r="157">
      <c r="E157" s="13" t="n"/>
      <c r="F157" s="13" t="n"/>
    </row>
    <row r="158">
      <c r="E158" s="13" t="n"/>
      <c r="F158" s="13" t="n"/>
    </row>
    <row r="159">
      <c r="E159" s="13" t="n"/>
      <c r="F159" s="13" t="n"/>
    </row>
    <row r="160">
      <c r="E160" s="13" t="n"/>
      <c r="F160" s="13" t="n"/>
    </row>
    <row r="161">
      <c r="E161" s="13" t="n"/>
      <c r="F161" s="13" t="n"/>
    </row>
    <row r="162">
      <c r="E162" s="13" t="n"/>
      <c r="F162" s="13" t="n"/>
    </row>
    <row r="163">
      <c r="E163" s="13" t="n"/>
      <c r="F163" s="13" t="n"/>
    </row>
    <row r="164">
      <c r="E164" s="13" t="n"/>
      <c r="F164" s="13" t="n"/>
    </row>
    <row r="165">
      <c r="E165" s="13" t="n"/>
      <c r="F165" s="13" t="n"/>
    </row>
    <row r="166">
      <c r="E166" s="13" t="n"/>
      <c r="F166" s="13" t="n"/>
    </row>
    <row r="167">
      <c r="E167" s="13" t="n"/>
      <c r="F167" s="13" t="n"/>
    </row>
    <row r="168">
      <c r="E168" s="13" t="n"/>
      <c r="F168" s="13" t="n"/>
    </row>
    <row r="169">
      <c r="E169" s="13" t="n"/>
      <c r="F169" s="13" t="n"/>
    </row>
    <row r="170">
      <c r="E170" s="13" t="n"/>
      <c r="F170" s="13" t="n"/>
    </row>
    <row r="171">
      <c r="E171" s="13" t="n"/>
      <c r="F171" s="13" t="n"/>
    </row>
    <row r="172">
      <c r="E172" s="13" t="n"/>
      <c r="F172" s="13" t="n"/>
    </row>
    <row r="173">
      <c r="E173" s="13" t="n"/>
      <c r="F173" s="13" t="n"/>
    </row>
    <row r="174">
      <c r="E174" s="13" t="n"/>
      <c r="F174" s="13" t="n"/>
    </row>
    <row r="175">
      <c r="E175" s="13" t="n"/>
      <c r="F175" s="13" t="n"/>
    </row>
    <row r="176">
      <c r="E176" s="13" t="n"/>
      <c r="F176" s="13" t="n"/>
    </row>
    <row r="177">
      <c r="E177" s="13" t="n"/>
      <c r="F177" s="13" t="n"/>
    </row>
    <row r="178">
      <c r="E178" s="13" t="n"/>
      <c r="F178" s="13" t="n"/>
    </row>
    <row r="179">
      <c r="E179" s="13" t="n"/>
      <c r="F179" s="13" t="n"/>
    </row>
    <row r="180">
      <c r="E180" s="13" t="n"/>
      <c r="F180" s="13" t="n"/>
    </row>
    <row r="181">
      <c r="E181" s="13" t="n"/>
      <c r="F181" s="13" t="n"/>
    </row>
    <row r="182">
      <c r="E182" s="13" t="n"/>
      <c r="F182" s="13" t="n"/>
    </row>
    <row r="183">
      <c r="E183" s="13" t="n"/>
      <c r="F183" s="13" t="n"/>
    </row>
    <row r="184">
      <c r="E184" s="13" t="n"/>
      <c r="F184" s="13" t="n"/>
    </row>
    <row r="185">
      <c r="E185" s="13" t="n"/>
      <c r="F185" s="13" t="n"/>
    </row>
    <row r="186">
      <c r="E186" s="13" t="n"/>
      <c r="F186" s="13" t="n"/>
    </row>
    <row r="187">
      <c r="E187" s="13" t="n"/>
      <c r="F187" s="13" t="n"/>
    </row>
    <row r="188">
      <c r="E188" s="13" t="n"/>
      <c r="F188" s="13" t="n"/>
    </row>
    <row r="189">
      <c r="E189" s="13" t="n"/>
      <c r="F189" s="13" t="n"/>
    </row>
    <row r="190">
      <c r="E190" s="13" t="n"/>
      <c r="F190" s="13" t="n"/>
    </row>
    <row r="191">
      <c r="E191" s="13" t="n"/>
      <c r="F191" s="13" t="n"/>
    </row>
    <row r="192">
      <c r="E192" s="13" t="n"/>
      <c r="F192" s="13" t="n"/>
    </row>
    <row r="193">
      <c r="E193" s="13" t="n"/>
      <c r="F193" s="13" t="n"/>
    </row>
    <row r="194">
      <c r="E194" s="13" t="n"/>
      <c r="F194" s="13" t="n"/>
    </row>
    <row r="195">
      <c r="E195" s="13" t="n"/>
      <c r="F195" s="13" t="n"/>
    </row>
    <row r="196">
      <c r="E196" s="13" t="n"/>
      <c r="F196" s="13" t="n"/>
    </row>
    <row r="197">
      <c r="E197" s="13" t="n"/>
      <c r="F197" s="13" t="n"/>
    </row>
    <row r="198">
      <c r="E198" s="13" t="n"/>
      <c r="F198" s="13" t="n"/>
    </row>
    <row r="199">
      <c r="E199" s="13" t="n"/>
      <c r="F199" s="13" t="n"/>
    </row>
    <row r="200">
      <c r="E200" s="13" t="n"/>
      <c r="F200" s="13" t="n"/>
    </row>
    <row r="201">
      <c r="E201" s="13" t="n"/>
      <c r="F201" s="13" t="n"/>
    </row>
    <row r="202">
      <c r="E202" s="13" t="n"/>
      <c r="F202" s="13" t="n"/>
    </row>
    <row r="203">
      <c r="E203" s="13" t="n"/>
      <c r="F203" s="13" t="n"/>
    </row>
  </sheetData>
  <autoFilter ref="A3:H203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0" customWidth="1" min="4" max="4"/>
    <col width="45" customWidth="1" min="5" max="5"/>
    <col width="18" customWidth="1" min="6" max="6"/>
    <col width="15" customWidth="1" min="7" max="7"/>
    <col width="18" customWidth="1" min="8" max="8"/>
    <col width="22" customWidth="1" min="9" max="9"/>
    <col width="35" customWidth="1" min="10" max="10"/>
  </cols>
  <sheetData>
    <row r="1" ht="32" customHeight="1">
      <c r="A1" s="1" t="inlineStr">
        <is>
          <t>NOTIFICACIONES</t>
        </is>
      </c>
    </row>
    <row r="2"/>
    <row r="3">
      <c r="A3" s="9" t="inlineStr">
        <is>
          <t>ID</t>
        </is>
      </c>
      <c r="B3" s="9" t="inlineStr">
        <is>
          <t>Fecha</t>
        </is>
      </c>
      <c r="C3" s="9" t="inlineStr">
        <is>
          <t>Matrícula</t>
        </is>
      </c>
      <c r="D3" s="9" t="inlineStr">
        <is>
          <t>Tipo</t>
        </is>
      </c>
      <c r="E3" s="9" t="inlineStr">
        <is>
          <t>Mensaje</t>
        </is>
      </c>
      <c r="F3" s="9" t="inlineStr">
        <is>
          <t>Canal</t>
        </is>
      </c>
      <c r="G3" s="9" t="inlineStr">
        <is>
          <t>Estatus</t>
        </is>
      </c>
      <c r="H3" s="9" t="inlineStr">
        <is>
          <t>Fecha envío</t>
        </is>
      </c>
      <c r="I3" s="9" t="inlineStr">
        <is>
          <t>Responsable</t>
        </is>
      </c>
      <c r="J3" s="9" t="inlineStr">
        <is>
          <t>Observaciones</t>
        </is>
      </c>
    </row>
    <row r="4">
      <c r="B4" s="13" t="n"/>
      <c r="H4" s="13" t="n"/>
    </row>
    <row r="5">
      <c r="B5" s="13" t="n"/>
      <c r="H5" s="13" t="n"/>
    </row>
    <row r="6">
      <c r="B6" s="13" t="n"/>
      <c r="H6" s="13" t="n"/>
    </row>
    <row r="7">
      <c r="B7" s="13" t="n"/>
      <c r="H7" s="13" t="n"/>
    </row>
    <row r="8">
      <c r="B8" s="13" t="n"/>
      <c r="H8" s="13" t="n"/>
    </row>
    <row r="9">
      <c r="B9" s="13" t="n"/>
      <c r="H9" s="13" t="n"/>
    </row>
    <row r="10">
      <c r="B10" s="13" t="n"/>
      <c r="H10" s="13" t="n"/>
    </row>
    <row r="11">
      <c r="B11" s="13" t="n"/>
      <c r="H11" s="13" t="n"/>
    </row>
    <row r="12">
      <c r="B12" s="13" t="n"/>
      <c r="H12" s="13" t="n"/>
    </row>
    <row r="13">
      <c r="B13" s="13" t="n"/>
      <c r="H13" s="13" t="n"/>
    </row>
    <row r="14">
      <c r="B14" s="13" t="n"/>
      <c r="H14" s="13" t="n"/>
    </row>
    <row r="15">
      <c r="B15" s="13" t="n"/>
      <c r="H15" s="13" t="n"/>
    </row>
    <row r="16">
      <c r="B16" s="13" t="n"/>
      <c r="H16" s="13" t="n"/>
    </row>
    <row r="17">
      <c r="B17" s="13" t="n"/>
      <c r="H17" s="13" t="n"/>
    </row>
    <row r="18">
      <c r="B18" s="13" t="n"/>
      <c r="H18" s="13" t="n"/>
    </row>
    <row r="19">
      <c r="B19" s="13" t="n"/>
      <c r="H19" s="13" t="n"/>
    </row>
    <row r="20">
      <c r="B20" s="13" t="n"/>
      <c r="H20" s="13" t="n"/>
    </row>
    <row r="21">
      <c r="B21" s="13" t="n"/>
      <c r="H21" s="13" t="n"/>
    </row>
    <row r="22">
      <c r="B22" s="13" t="n"/>
      <c r="H22" s="13" t="n"/>
    </row>
    <row r="23">
      <c r="B23" s="13" t="n"/>
      <c r="H23" s="13" t="n"/>
    </row>
    <row r="24">
      <c r="B24" s="13" t="n"/>
      <c r="H24" s="13" t="n"/>
    </row>
    <row r="25">
      <c r="B25" s="13" t="n"/>
      <c r="H25" s="13" t="n"/>
    </row>
    <row r="26">
      <c r="B26" s="13" t="n"/>
      <c r="H26" s="13" t="n"/>
    </row>
    <row r="27">
      <c r="B27" s="13" t="n"/>
      <c r="H27" s="13" t="n"/>
    </row>
    <row r="28">
      <c r="B28" s="13" t="n"/>
      <c r="H28" s="13" t="n"/>
    </row>
    <row r="29">
      <c r="B29" s="13" t="n"/>
      <c r="H29" s="13" t="n"/>
    </row>
    <row r="30">
      <c r="B30" s="13" t="n"/>
      <c r="H30" s="13" t="n"/>
    </row>
    <row r="31">
      <c r="B31" s="13" t="n"/>
      <c r="H31" s="13" t="n"/>
    </row>
    <row r="32">
      <c r="B32" s="13" t="n"/>
      <c r="H32" s="13" t="n"/>
    </row>
    <row r="33">
      <c r="B33" s="13" t="n"/>
      <c r="H33" s="13" t="n"/>
    </row>
    <row r="34">
      <c r="B34" s="13" t="n"/>
      <c r="H34" s="13" t="n"/>
    </row>
    <row r="35">
      <c r="B35" s="13" t="n"/>
      <c r="H35" s="13" t="n"/>
    </row>
    <row r="36">
      <c r="B36" s="13" t="n"/>
      <c r="H36" s="13" t="n"/>
    </row>
    <row r="37">
      <c r="B37" s="13" t="n"/>
      <c r="H37" s="13" t="n"/>
    </row>
    <row r="38">
      <c r="B38" s="13" t="n"/>
      <c r="H38" s="13" t="n"/>
    </row>
    <row r="39">
      <c r="B39" s="13" t="n"/>
      <c r="H39" s="13" t="n"/>
    </row>
    <row r="40">
      <c r="B40" s="13" t="n"/>
      <c r="H40" s="13" t="n"/>
    </row>
    <row r="41">
      <c r="B41" s="13" t="n"/>
      <c r="H41" s="13" t="n"/>
    </row>
    <row r="42">
      <c r="B42" s="13" t="n"/>
      <c r="H42" s="13" t="n"/>
    </row>
    <row r="43">
      <c r="B43" s="13" t="n"/>
      <c r="H43" s="13" t="n"/>
    </row>
    <row r="44">
      <c r="B44" s="13" t="n"/>
      <c r="H44" s="13" t="n"/>
    </row>
    <row r="45">
      <c r="B45" s="13" t="n"/>
      <c r="H45" s="13" t="n"/>
    </row>
    <row r="46">
      <c r="B46" s="13" t="n"/>
      <c r="H46" s="13" t="n"/>
    </row>
    <row r="47">
      <c r="B47" s="13" t="n"/>
      <c r="H47" s="13" t="n"/>
    </row>
    <row r="48">
      <c r="B48" s="13" t="n"/>
      <c r="H48" s="13" t="n"/>
    </row>
    <row r="49">
      <c r="B49" s="13" t="n"/>
      <c r="H49" s="13" t="n"/>
    </row>
    <row r="50">
      <c r="B50" s="13" t="n"/>
      <c r="H50" s="13" t="n"/>
    </row>
    <row r="51">
      <c r="B51" s="13" t="n"/>
      <c r="H51" s="13" t="n"/>
    </row>
    <row r="52">
      <c r="B52" s="13" t="n"/>
      <c r="H52" s="13" t="n"/>
    </row>
    <row r="53">
      <c r="B53" s="13" t="n"/>
      <c r="H53" s="13" t="n"/>
    </row>
    <row r="54">
      <c r="B54" s="13" t="n"/>
      <c r="H54" s="13" t="n"/>
    </row>
    <row r="55">
      <c r="B55" s="13" t="n"/>
      <c r="H55" s="13" t="n"/>
    </row>
    <row r="56">
      <c r="B56" s="13" t="n"/>
      <c r="H56" s="13" t="n"/>
    </row>
    <row r="57">
      <c r="B57" s="13" t="n"/>
      <c r="H57" s="13" t="n"/>
    </row>
    <row r="58">
      <c r="B58" s="13" t="n"/>
      <c r="H58" s="13" t="n"/>
    </row>
    <row r="59">
      <c r="B59" s="13" t="n"/>
      <c r="H59" s="13" t="n"/>
    </row>
    <row r="60">
      <c r="B60" s="13" t="n"/>
      <c r="H60" s="13" t="n"/>
    </row>
    <row r="61">
      <c r="B61" s="13" t="n"/>
      <c r="H61" s="13" t="n"/>
    </row>
    <row r="62">
      <c r="B62" s="13" t="n"/>
      <c r="H62" s="13" t="n"/>
    </row>
    <row r="63">
      <c r="B63" s="13" t="n"/>
      <c r="H63" s="13" t="n"/>
    </row>
    <row r="64">
      <c r="B64" s="13" t="n"/>
      <c r="H64" s="13" t="n"/>
    </row>
    <row r="65">
      <c r="B65" s="13" t="n"/>
      <c r="H65" s="13" t="n"/>
    </row>
    <row r="66">
      <c r="B66" s="13" t="n"/>
      <c r="H66" s="13" t="n"/>
    </row>
    <row r="67">
      <c r="B67" s="13" t="n"/>
      <c r="H67" s="13" t="n"/>
    </row>
    <row r="68">
      <c r="B68" s="13" t="n"/>
      <c r="H68" s="13" t="n"/>
    </row>
    <row r="69">
      <c r="B69" s="13" t="n"/>
      <c r="H69" s="13" t="n"/>
    </row>
    <row r="70">
      <c r="B70" s="13" t="n"/>
      <c r="H70" s="13" t="n"/>
    </row>
    <row r="71">
      <c r="B71" s="13" t="n"/>
      <c r="H71" s="13" t="n"/>
    </row>
    <row r="72">
      <c r="B72" s="13" t="n"/>
      <c r="H72" s="13" t="n"/>
    </row>
    <row r="73">
      <c r="B73" s="13" t="n"/>
      <c r="H73" s="13" t="n"/>
    </row>
    <row r="74">
      <c r="B74" s="13" t="n"/>
      <c r="H74" s="13" t="n"/>
    </row>
    <row r="75">
      <c r="B75" s="13" t="n"/>
      <c r="H75" s="13" t="n"/>
    </row>
    <row r="76">
      <c r="B76" s="13" t="n"/>
      <c r="H76" s="13" t="n"/>
    </row>
    <row r="77">
      <c r="B77" s="13" t="n"/>
      <c r="H77" s="13" t="n"/>
    </row>
    <row r="78">
      <c r="B78" s="13" t="n"/>
      <c r="H78" s="13" t="n"/>
    </row>
    <row r="79">
      <c r="B79" s="13" t="n"/>
      <c r="H79" s="13" t="n"/>
    </row>
    <row r="80">
      <c r="B80" s="13" t="n"/>
      <c r="H80" s="13" t="n"/>
    </row>
    <row r="81">
      <c r="B81" s="13" t="n"/>
      <c r="H81" s="13" t="n"/>
    </row>
    <row r="82">
      <c r="B82" s="13" t="n"/>
      <c r="H82" s="13" t="n"/>
    </row>
    <row r="83">
      <c r="B83" s="13" t="n"/>
      <c r="H83" s="13" t="n"/>
    </row>
    <row r="84">
      <c r="B84" s="13" t="n"/>
      <c r="H84" s="13" t="n"/>
    </row>
    <row r="85">
      <c r="B85" s="13" t="n"/>
      <c r="H85" s="13" t="n"/>
    </row>
    <row r="86">
      <c r="B86" s="13" t="n"/>
      <c r="H86" s="13" t="n"/>
    </row>
    <row r="87">
      <c r="B87" s="13" t="n"/>
      <c r="H87" s="13" t="n"/>
    </row>
    <row r="88">
      <c r="B88" s="13" t="n"/>
      <c r="H88" s="13" t="n"/>
    </row>
    <row r="89">
      <c r="B89" s="13" t="n"/>
      <c r="H89" s="13" t="n"/>
    </row>
    <row r="90">
      <c r="B90" s="13" t="n"/>
      <c r="H90" s="13" t="n"/>
    </row>
    <row r="91">
      <c r="B91" s="13" t="n"/>
      <c r="H91" s="13" t="n"/>
    </row>
    <row r="92">
      <c r="B92" s="13" t="n"/>
      <c r="H92" s="13" t="n"/>
    </row>
    <row r="93">
      <c r="B93" s="13" t="n"/>
      <c r="H93" s="13" t="n"/>
    </row>
    <row r="94">
      <c r="B94" s="13" t="n"/>
      <c r="H94" s="13" t="n"/>
    </row>
    <row r="95">
      <c r="B95" s="13" t="n"/>
      <c r="H95" s="13" t="n"/>
    </row>
    <row r="96">
      <c r="B96" s="13" t="n"/>
      <c r="H96" s="13" t="n"/>
    </row>
    <row r="97">
      <c r="B97" s="13" t="n"/>
      <c r="H97" s="13" t="n"/>
    </row>
    <row r="98">
      <c r="B98" s="13" t="n"/>
      <c r="H98" s="13" t="n"/>
    </row>
    <row r="99">
      <c r="B99" s="13" t="n"/>
      <c r="H99" s="13" t="n"/>
    </row>
    <row r="100">
      <c r="B100" s="13" t="n"/>
      <c r="H100" s="13" t="n"/>
    </row>
    <row r="101">
      <c r="B101" s="13" t="n"/>
      <c r="H101" s="13" t="n"/>
    </row>
    <row r="102">
      <c r="B102" s="13" t="n"/>
      <c r="H102" s="13" t="n"/>
    </row>
    <row r="103">
      <c r="B103" s="13" t="n"/>
      <c r="H103" s="13" t="n"/>
    </row>
    <row r="104">
      <c r="B104" s="13" t="n"/>
      <c r="H104" s="13" t="n"/>
    </row>
    <row r="105">
      <c r="B105" s="13" t="n"/>
      <c r="H105" s="13" t="n"/>
    </row>
    <row r="106">
      <c r="B106" s="13" t="n"/>
      <c r="H106" s="13" t="n"/>
    </row>
    <row r="107">
      <c r="B107" s="13" t="n"/>
      <c r="H107" s="13" t="n"/>
    </row>
    <row r="108">
      <c r="B108" s="13" t="n"/>
      <c r="H108" s="13" t="n"/>
    </row>
    <row r="109">
      <c r="B109" s="13" t="n"/>
      <c r="H109" s="13" t="n"/>
    </row>
    <row r="110">
      <c r="B110" s="13" t="n"/>
      <c r="H110" s="13" t="n"/>
    </row>
    <row r="111">
      <c r="B111" s="13" t="n"/>
      <c r="H111" s="13" t="n"/>
    </row>
    <row r="112">
      <c r="B112" s="13" t="n"/>
      <c r="H112" s="13" t="n"/>
    </row>
    <row r="113">
      <c r="B113" s="13" t="n"/>
      <c r="H113" s="13" t="n"/>
    </row>
    <row r="114">
      <c r="B114" s="13" t="n"/>
      <c r="H114" s="13" t="n"/>
    </row>
    <row r="115">
      <c r="B115" s="13" t="n"/>
      <c r="H115" s="13" t="n"/>
    </row>
    <row r="116">
      <c r="B116" s="13" t="n"/>
      <c r="H116" s="13" t="n"/>
    </row>
    <row r="117">
      <c r="B117" s="13" t="n"/>
      <c r="H117" s="13" t="n"/>
    </row>
    <row r="118">
      <c r="B118" s="13" t="n"/>
      <c r="H118" s="13" t="n"/>
    </row>
    <row r="119">
      <c r="B119" s="13" t="n"/>
      <c r="H119" s="13" t="n"/>
    </row>
    <row r="120">
      <c r="B120" s="13" t="n"/>
      <c r="H120" s="13" t="n"/>
    </row>
    <row r="121">
      <c r="B121" s="13" t="n"/>
      <c r="H121" s="13" t="n"/>
    </row>
    <row r="122">
      <c r="B122" s="13" t="n"/>
      <c r="H122" s="13" t="n"/>
    </row>
    <row r="123">
      <c r="B123" s="13" t="n"/>
      <c r="H123" s="13" t="n"/>
    </row>
    <row r="124">
      <c r="B124" s="13" t="n"/>
      <c r="H124" s="13" t="n"/>
    </row>
    <row r="125">
      <c r="B125" s="13" t="n"/>
      <c r="H125" s="13" t="n"/>
    </row>
    <row r="126">
      <c r="B126" s="13" t="n"/>
      <c r="H126" s="13" t="n"/>
    </row>
    <row r="127">
      <c r="B127" s="13" t="n"/>
      <c r="H127" s="13" t="n"/>
    </row>
    <row r="128">
      <c r="B128" s="13" t="n"/>
      <c r="H128" s="13" t="n"/>
    </row>
    <row r="129">
      <c r="B129" s="13" t="n"/>
      <c r="H129" s="13" t="n"/>
    </row>
    <row r="130">
      <c r="B130" s="13" t="n"/>
      <c r="H130" s="13" t="n"/>
    </row>
    <row r="131">
      <c r="B131" s="13" t="n"/>
      <c r="H131" s="13" t="n"/>
    </row>
    <row r="132">
      <c r="B132" s="13" t="n"/>
      <c r="H132" s="13" t="n"/>
    </row>
    <row r="133">
      <c r="B133" s="13" t="n"/>
      <c r="H133" s="13" t="n"/>
    </row>
    <row r="134">
      <c r="B134" s="13" t="n"/>
      <c r="H134" s="13" t="n"/>
    </row>
    <row r="135">
      <c r="B135" s="13" t="n"/>
      <c r="H135" s="13" t="n"/>
    </row>
    <row r="136">
      <c r="B136" s="13" t="n"/>
      <c r="H136" s="13" t="n"/>
    </row>
    <row r="137">
      <c r="B137" s="13" t="n"/>
      <c r="H137" s="13" t="n"/>
    </row>
    <row r="138">
      <c r="B138" s="13" t="n"/>
      <c r="H138" s="13" t="n"/>
    </row>
    <row r="139">
      <c r="B139" s="13" t="n"/>
      <c r="H139" s="13" t="n"/>
    </row>
    <row r="140">
      <c r="B140" s="13" t="n"/>
      <c r="H140" s="13" t="n"/>
    </row>
    <row r="141">
      <c r="B141" s="13" t="n"/>
      <c r="H141" s="13" t="n"/>
    </row>
    <row r="142">
      <c r="B142" s="13" t="n"/>
      <c r="H142" s="13" t="n"/>
    </row>
    <row r="143">
      <c r="B143" s="13" t="n"/>
      <c r="H143" s="13" t="n"/>
    </row>
    <row r="144">
      <c r="B144" s="13" t="n"/>
      <c r="H144" s="13" t="n"/>
    </row>
    <row r="145">
      <c r="B145" s="13" t="n"/>
      <c r="H145" s="13" t="n"/>
    </row>
    <row r="146">
      <c r="B146" s="13" t="n"/>
      <c r="H146" s="13" t="n"/>
    </row>
    <row r="147">
      <c r="B147" s="13" t="n"/>
      <c r="H147" s="13" t="n"/>
    </row>
    <row r="148">
      <c r="B148" s="13" t="n"/>
      <c r="H148" s="13" t="n"/>
    </row>
    <row r="149">
      <c r="B149" s="13" t="n"/>
      <c r="H149" s="13" t="n"/>
    </row>
    <row r="150">
      <c r="B150" s="13" t="n"/>
      <c r="H150" s="13" t="n"/>
    </row>
    <row r="151">
      <c r="B151" s="13" t="n"/>
      <c r="H151" s="13" t="n"/>
    </row>
    <row r="152">
      <c r="B152" s="13" t="n"/>
      <c r="H152" s="13" t="n"/>
    </row>
    <row r="153">
      <c r="B153" s="13" t="n"/>
      <c r="H153" s="13" t="n"/>
    </row>
    <row r="154">
      <c r="B154" s="13" t="n"/>
      <c r="H154" s="13" t="n"/>
    </row>
    <row r="155">
      <c r="B155" s="13" t="n"/>
      <c r="H155" s="13" t="n"/>
    </row>
    <row r="156">
      <c r="B156" s="13" t="n"/>
      <c r="H156" s="13" t="n"/>
    </row>
    <row r="157">
      <c r="B157" s="13" t="n"/>
      <c r="H157" s="13" t="n"/>
    </row>
    <row r="158">
      <c r="B158" s="13" t="n"/>
      <c r="H158" s="13" t="n"/>
    </row>
    <row r="159">
      <c r="B159" s="13" t="n"/>
      <c r="H159" s="13" t="n"/>
    </row>
    <row r="160">
      <c r="B160" s="13" t="n"/>
      <c r="H160" s="13" t="n"/>
    </row>
    <row r="161">
      <c r="B161" s="13" t="n"/>
      <c r="H161" s="13" t="n"/>
    </row>
    <row r="162">
      <c r="B162" s="13" t="n"/>
      <c r="H162" s="13" t="n"/>
    </row>
    <row r="163">
      <c r="B163" s="13" t="n"/>
      <c r="H163" s="13" t="n"/>
    </row>
    <row r="164">
      <c r="B164" s="13" t="n"/>
      <c r="H164" s="13" t="n"/>
    </row>
    <row r="165">
      <c r="B165" s="13" t="n"/>
      <c r="H165" s="13" t="n"/>
    </row>
    <row r="166">
      <c r="B166" s="13" t="n"/>
      <c r="H166" s="13" t="n"/>
    </row>
    <row r="167">
      <c r="B167" s="13" t="n"/>
      <c r="H167" s="13" t="n"/>
    </row>
    <row r="168">
      <c r="B168" s="13" t="n"/>
      <c r="H168" s="13" t="n"/>
    </row>
    <row r="169">
      <c r="B169" s="13" t="n"/>
      <c r="H169" s="13" t="n"/>
    </row>
    <row r="170">
      <c r="B170" s="13" t="n"/>
      <c r="H170" s="13" t="n"/>
    </row>
    <row r="171">
      <c r="B171" s="13" t="n"/>
      <c r="H171" s="13" t="n"/>
    </row>
    <row r="172">
      <c r="B172" s="13" t="n"/>
      <c r="H172" s="13" t="n"/>
    </row>
    <row r="173">
      <c r="B173" s="13" t="n"/>
      <c r="H173" s="13" t="n"/>
    </row>
    <row r="174">
      <c r="B174" s="13" t="n"/>
      <c r="H174" s="13" t="n"/>
    </row>
    <row r="175">
      <c r="B175" s="13" t="n"/>
      <c r="H175" s="13" t="n"/>
    </row>
    <row r="176">
      <c r="B176" s="13" t="n"/>
      <c r="H176" s="13" t="n"/>
    </row>
    <row r="177">
      <c r="B177" s="13" t="n"/>
      <c r="H177" s="13" t="n"/>
    </row>
    <row r="178">
      <c r="B178" s="13" t="n"/>
      <c r="H178" s="13" t="n"/>
    </row>
    <row r="179">
      <c r="B179" s="13" t="n"/>
      <c r="H179" s="13" t="n"/>
    </row>
    <row r="180">
      <c r="B180" s="13" t="n"/>
      <c r="H180" s="13" t="n"/>
    </row>
    <row r="181">
      <c r="B181" s="13" t="n"/>
      <c r="H181" s="13" t="n"/>
    </row>
    <row r="182">
      <c r="B182" s="13" t="n"/>
      <c r="H182" s="13" t="n"/>
    </row>
    <row r="183">
      <c r="B183" s="13" t="n"/>
      <c r="H183" s="13" t="n"/>
    </row>
    <row r="184">
      <c r="B184" s="13" t="n"/>
      <c r="H184" s="13" t="n"/>
    </row>
    <row r="185">
      <c r="B185" s="13" t="n"/>
      <c r="H185" s="13" t="n"/>
    </row>
    <row r="186">
      <c r="B186" s="13" t="n"/>
      <c r="H186" s="13" t="n"/>
    </row>
    <row r="187">
      <c r="B187" s="13" t="n"/>
      <c r="H187" s="13" t="n"/>
    </row>
    <row r="188">
      <c r="B188" s="13" t="n"/>
      <c r="H188" s="13" t="n"/>
    </row>
    <row r="189">
      <c r="B189" s="13" t="n"/>
      <c r="H189" s="13" t="n"/>
    </row>
    <row r="190">
      <c r="B190" s="13" t="n"/>
      <c r="H190" s="13" t="n"/>
    </row>
    <row r="191">
      <c r="B191" s="13" t="n"/>
      <c r="H191" s="13" t="n"/>
    </row>
    <row r="192">
      <c r="B192" s="13" t="n"/>
      <c r="H192" s="13" t="n"/>
    </row>
    <row r="193">
      <c r="B193" s="13" t="n"/>
      <c r="H193" s="13" t="n"/>
    </row>
    <row r="194">
      <c r="B194" s="13" t="n"/>
      <c r="H194" s="13" t="n"/>
    </row>
    <row r="195">
      <c r="B195" s="13" t="n"/>
      <c r="H195" s="13" t="n"/>
    </row>
    <row r="196">
      <c r="B196" s="13" t="n"/>
      <c r="H196" s="13" t="n"/>
    </row>
    <row r="197">
      <c r="B197" s="13" t="n"/>
      <c r="H197" s="13" t="n"/>
    </row>
    <row r="198">
      <c r="B198" s="13" t="n"/>
      <c r="H198" s="13" t="n"/>
    </row>
    <row r="199">
      <c r="B199" s="13" t="n"/>
      <c r="H199" s="13" t="n"/>
    </row>
    <row r="200">
      <c r="B200" s="13" t="n"/>
      <c r="H200" s="13" t="n"/>
    </row>
    <row r="201">
      <c r="B201" s="13" t="n"/>
      <c r="H201" s="13" t="n"/>
    </row>
    <row r="202">
      <c r="B202" s="13" t="n"/>
      <c r="H202" s="13" t="n"/>
    </row>
    <row r="203">
      <c r="B203" s="13" t="n"/>
      <c r="H203" s="13" t="n"/>
    </row>
  </sheetData>
  <autoFilter ref="A3:J203"/>
  <mergeCells count="1">
    <mergeCell ref="A1:J1"/>
  </mergeCells>
  <dataValidations count="2">
    <dataValidation sqref="F4:F203" showDropDown="0" showInputMessage="0" showErrorMessage="0" allowBlank="1" type="list">
      <formula1>"WhatsApp,Correo,Interna"</formula1>
    </dataValidation>
    <dataValidation sqref="G4:G203" showDropDown="0" showInputMessage="0" showErrorMessage="0" allowBlank="1" type="list">
      <formula1>"Pendiente,Enviada,Cancelada"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8" customWidth="1" min="4" max="4"/>
    <col width="15" customWidth="1" min="5" max="5"/>
    <col width="18" customWidth="1" min="6" max="6"/>
    <col width="35" customWidth="1" min="7" max="7"/>
  </cols>
  <sheetData>
    <row r="1" ht="32" customHeight="1">
      <c r="A1" s="1" t="inlineStr">
        <is>
          <t>USUARIOS Y PERMISOS</t>
        </is>
      </c>
    </row>
    <row r="2"/>
    <row r="3">
      <c r="A3" s="9" t="inlineStr">
        <is>
          <t>ID Usuario</t>
        </is>
      </c>
      <c r="B3" s="9" t="inlineStr">
        <is>
          <t>Nombre</t>
        </is>
      </c>
      <c r="C3" s="9" t="inlineStr">
        <is>
          <t>Correo</t>
        </is>
      </c>
      <c r="D3" s="9" t="inlineStr">
        <is>
          <t>Rol</t>
        </is>
      </c>
      <c r="E3" s="9" t="inlineStr">
        <is>
          <t>Estatus</t>
        </is>
      </c>
      <c r="F3" s="9" t="inlineStr">
        <is>
          <t>Último acceso</t>
        </is>
      </c>
      <c r="G3" s="9" t="inlineStr">
        <is>
          <t>Observaciones</t>
        </is>
      </c>
    </row>
  </sheetData>
  <autoFilter ref="A3:G53"/>
  <mergeCells count="1">
    <mergeCell ref="A1:G1"/>
  </mergeCells>
  <dataValidations count="2">
    <dataValidation sqref="D4:D53" showDropDown="0" showInputMessage="0" showErrorMessage="0" allowBlank="1" type="list">
      <formula1>"Admin,Recepción,Maestro,Alumno,Tutor"</formula1>
    </dataValidation>
    <dataValidation sqref="E4:E53" showDropDown="0" showInputMessage="0" showErrorMessage="0" allowBlank="1" type="list">
      <formula1>"Activo,Inactivo"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5" customWidth="1" min="4" max="4"/>
    <col width="20" customWidth="1" min="5" max="5"/>
    <col width="18" customWidth="1" min="6" max="6"/>
    <col width="40" customWidth="1" min="7" max="7"/>
    <col width="40" customWidth="1" min="8" max="8"/>
  </cols>
  <sheetData>
    <row r="1" ht="32" customHeight="1">
      <c r="A1" s="1" t="inlineStr">
        <is>
          <t>AUDITORÍA · Registro de cambios importantes</t>
        </is>
      </c>
    </row>
    <row r="2"/>
    <row r="3">
      <c r="A3" s="9" t="inlineStr">
        <is>
          <t>ID</t>
        </is>
      </c>
      <c r="B3" s="9" t="inlineStr">
        <is>
          <t>Fecha/hora</t>
        </is>
      </c>
      <c r="C3" s="9" t="inlineStr">
        <is>
          <t>Usuario</t>
        </is>
      </c>
      <c r="D3" s="9" t="inlineStr">
        <is>
          <t>Acción</t>
        </is>
      </c>
      <c r="E3" s="9" t="inlineStr">
        <is>
          <t>Módulo</t>
        </is>
      </c>
      <c r="F3" s="9" t="inlineStr">
        <is>
          <t>ID registro</t>
        </is>
      </c>
      <c r="G3" s="9" t="inlineStr">
        <is>
          <t>Valor anterior</t>
        </is>
      </c>
      <c r="H3" s="9" t="inlineStr">
        <is>
          <t>Valor nuevo</t>
        </is>
      </c>
    </row>
    <row r="4">
      <c r="B4" s="17" t="n"/>
    </row>
    <row r="5">
      <c r="B5" s="17" t="n"/>
    </row>
    <row r="6">
      <c r="B6" s="17" t="n"/>
    </row>
    <row r="7">
      <c r="B7" s="17" t="n"/>
    </row>
    <row r="8">
      <c r="B8" s="17" t="n"/>
    </row>
    <row r="9">
      <c r="B9" s="17" t="n"/>
    </row>
    <row r="10">
      <c r="B10" s="17" t="n"/>
    </row>
    <row r="11">
      <c r="B11" s="17" t="n"/>
    </row>
    <row r="12">
      <c r="B12" s="17" t="n"/>
    </row>
    <row r="13">
      <c r="B13" s="17" t="n"/>
    </row>
    <row r="14">
      <c r="B14" s="17" t="n"/>
    </row>
    <row r="15">
      <c r="B15" s="17" t="n"/>
    </row>
    <row r="16">
      <c r="B16" s="17" t="n"/>
    </row>
    <row r="17">
      <c r="B17" s="17" t="n"/>
    </row>
    <row r="18">
      <c r="B18" s="17" t="n"/>
    </row>
    <row r="19">
      <c r="B19" s="17" t="n"/>
    </row>
    <row r="20">
      <c r="B20" s="17" t="n"/>
    </row>
    <row r="21">
      <c r="B21" s="17" t="n"/>
    </row>
    <row r="22">
      <c r="B22" s="17" t="n"/>
    </row>
    <row r="23">
      <c r="B23" s="17" t="n"/>
    </row>
    <row r="24">
      <c r="B24" s="17" t="n"/>
    </row>
    <row r="25">
      <c r="B25" s="17" t="n"/>
    </row>
    <row r="26">
      <c r="B26" s="17" t="n"/>
    </row>
    <row r="27">
      <c r="B27" s="17" t="n"/>
    </row>
    <row r="28">
      <c r="B28" s="17" t="n"/>
    </row>
    <row r="29">
      <c r="B29" s="17" t="n"/>
    </row>
    <row r="30">
      <c r="B30" s="17" t="n"/>
    </row>
    <row r="31">
      <c r="B31" s="17" t="n"/>
    </row>
    <row r="32">
      <c r="B32" s="17" t="n"/>
    </row>
    <row r="33">
      <c r="B33" s="17" t="n"/>
    </row>
    <row r="34">
      <c r="B34" s="17" t="n"/>
    </row>
    <row r="35">
      <c r="B35" s="17" t="n"/>
    </row>
    <row r="36">
      <c r="B36" s="17" t="n"/>
    </row>
    <row r="37">
      <c r="B37" s="17" t="n"/>
    </row>
    <row r="38">
      <c r="B38" s="17" t="n"/>
    </row>
    <row r="39">
      <c r="B39" s="17" t="n"/>
    </row>
    <row r="40">
      <c r="B40" s="17" t="n"/>
    </row>
    <row r="41">
      <c r="B41" s="17" t="n"/>
    </row>
    <row r="42">
      <c r="B42" s="17" t="n"/>
    </row>
    <row r="43">
      <c r="B43" s="17" t="n"/>
    </row>
    <row r="44">
      <c r="B44" s="17" t="n"/>
    </row>
    <row r="45">
      <c r="B45" s="17" t="n"/>
    </row>
    <row r="46">
      <c r="B46" s="17" t="n"/>
    </row>
    <row r="47">
      <c r="B47" s="17" t="n"/>
    </row>
    <row r="48">
      <c r="B48" s="17" t="n"/>
    </row>
    <row r="49">
      <c r="B49" s="17" t="n"/>
    </row>
    <row r="50">
      <c r="B50" s="17" t="n"/>
    </row>
    <row r="51">
      <c r="B51" s="17" t="n"/>
    </row>
    <row r="52">
      <c r="B52" s="17" t="n"/>
    </row>
    <row r="53">
      <c r="B53" s="17" t="n"/>
    </row>
    <row r="54">
      <c r="B54" s="17" t="n"/>
    </row>
    <row r="55">
      <c r="B55" s="17" t="n"/>
    </row>
    <row r="56">
      <c r="B56" s="17" t="n"/>
    </row>
    <row r="57">
      <c r="B57" s="17" t="n"/>
    </row>
    <row r="58">
      <c r="B58" s="17" t="n"/>
    </row>
    <row r="59">
      <c r="B59" s="17" t="n"/>
    </row>
    <row r="60">
      <c r="B60" s="17" t="n"/>
    </row>
    <row r="61">
      <c r="B61" s="17" t="n"/>
    </row>
    <row r="62">
      <c r="B62" s="17" t="n"/>
    </row>
    <row r="63">
      <c r="B63" s="17" t="n"/>
    </row>
    <row r="64">
      <c r="B64" s="17" t="n"/>
    </row>
    <row r="65">
      <c r="B65" s="17" t="n"/>
    </row>
    <row r="66">
      <c r="B66" s="17" t="n"/>
    </row>
    <row r="67">
      <c r="B67" s="17" t="n"/>
    </row>
    <row r="68">
      <c r="B68" s="17" t="n"/>
    </row>
    <row r="69">
      <c r="B69" s="17" t="n"/>
    </row>
    <row r="70">
      <c r="B70" s="17" t="n"/>
    </row>
    <row r="71">
      <c r="B71" s="17" t="n"/>
    </row>
    <row r="72">
      <c r="B72" s="17" t="n"/>
    </row>
    <row r="73">
      <c r="B73" s="17" t="n"/>
    </row>
    <row r="74">
      <c r="B74" s="17" t="n"/>
    </row>
    <row r="75">
      <c r="B75" s="17" t="n"/>
    </row>
    <row r="76">
      <c r="B76" s="17" t="n"/>
    </row>
    <row r="77">
      <c r="B77" s="17" t="n"/>
    </row>
    <row r="78">
      <c r="B78" s="17" t="n"/>
    </row>
    <row r="79">
      <c r="B79" s="17" t="n"/>
    </row>
    <row r="80">
      <c r="B80" s="17" t="n"/>
    </row>
    <row r="81">
      <c r="B81" s="17" t="n"/>
    </row>
    <row r="82">
      <c r="B82" s="17" t="n"/>
    </row>
    <row r="83">
      <c r="B83" s="17" t="n"/>
    </row>
    <row r="84">
      <c r="B84" s="17" t="n"/>
    </row>
    <row r="85">
      <c r="B85" s="17" t="n"/>
    </row>
    <row r="86">
      <c r="B86" s="17" t="n"/>
    </row>
    <row r="87">
      <c r="B87" s="17" t="n"/>
    </row>
    <row r="88">
      <c r="B88" s="17" t="n"/>
    </row>
    <row r="89">
      <c r="B89" s="17" t="n"/>
    </row>
    <row r="90">
      <c r="B90" s="17" t="n"/>
    </row>
    <row r="91">
      <c r="B91" s="17" t="n"/>
    </row>
    <row r="92">
      <c r="B92" s="17" t="n"/>
    </row>
    <row r="93">
      <c r="B93" s="17" t="n"/>
    </row>
    <row r="94">
      <c r="B94" s="17" t="n"/>
    </row>
    <row r="95">
      <c r="B95" s="17" t="n"/>
    </row>
    <row r="96">
      <c r="B96" s="17" t="n"/>
    </row>
    <row r="97">
      <c r="B97" s="17" t="n"/>
    </row>
    <row r="98">
      <c r="B98" s="17" t="n"/>
    </row>
    <row r="99">
      <c r="B99" s="17" t="n"/>
    </row>
    <row r="100">
      <c r="B100" s="17" t="n"/>
    </row>
    <row r="101">
      <c r="B101" s="17" t="n"/>
    </row>
    <row r="102">
      <c r="B102" s="17" t="n"/>
    </row>
    <row r="103">
      <c r="B103" s="17" t="n"/>
    </row>
    <row r="104">
      <c r="B104" s="17" t="n"/>
    </row>
    <row r="105">
      <c r="B105" s="17" t="n"/>
    </row>
    <row r="106">
      <c r="B106" s="17" t="n"/>
    </row>
    <row r="107">
      <c r="B107" s="17" t="n"/>
    </row>
    <row r="108">
      <c r="B108" s="17" t="n"/>
    </row>
    <row r="109">
      <c r="B109" s="17" t="n"/>
    </row>
    <row r="110">
      <c r="B110" s="17" t="n"/>
    </row>
    <row r="111">
      <c r="B111" s="17" t="n"/>
    </row>
    <row r="112">
      <c r="B112" s="17" t="n"/>
    </row>
    <row r="113">
      <c r="B113" s="17" t="n"/>
    </row>
    <row r="114">
      <c r="B114" s="17" t="n"/>
    </row>
    <row r="115">
      <c r="B115" s="17" t="n"/>
    </row>
    <row r="116">
      <c r="B116" s="17" t="n"/>
    </row>
    <row r="117">
      <c r="B117" s="17" t="n"/>
    </row>
    <row r="118">
      <c r="B118" s="17" t="n"/>
    </row>
    <row r="119">
      <c r="B119" s="17" t="n"/>
    </row>
    <row r="120">
      <c r="B120" s="17" t="n"/>
    </row>
    <row r="121">
      <c r="B121" s="17" t="n"/>
    </row>
    <row r="122">
      <c r="B122" s="17" t="n"/>
    </row>
    <row r="123">
      <c r="B123" s="17" t="n"/>
    </row>
    <row r="124">
      <c r="B124" s="17" t="n"/>
    </row>
    <row r="125">
      <c r="B125" s="17" t="n"/>
    </row>
    <row r="126">
      <c r="B126" s="17" t="n"/>
    </row>
    <row r="127">
      <c r="B127" s="17" t="n"/>
    </row>
    <row r="128">
      <c r="B128" s="17" t="n"/>
    </row>
    <row r="129">
      <c r="B129" s="17" t="n"/>
    </row>
    <row r="130">
      <c r="B130" s="17" t="n"/>
    </row>
    <row r="131">
      <c r="B131" s="17" t="n"/>
    </row>
    <row r="132">
      <c r="B132" s="17" t="n"/>
    </row>
    <row r="133">
      <c r="B133" s="17" t="n"/>
    </row>
    <row r="134">
      <c r="B134" s="17" t="n"/>
    </row>
    <row r="135">
      <c r="B135" s="17" t="n"/>
    </row>
    <row r="136">
      <c r="B136" s="17" t="n"/>
    </row>
    <row r="137">
      <c r="B137" s="17" t="n"/>
    </row>
    <row r="138">
      <c r="B138" s="17" t="n"/>
    </row>
    <row r="139">
      <c r="B139" s="17" t="n"/>
    </row>
    <row r="140">
      <c r="B140" s="17" t="n"/>
    </row>
    <row r="141">
      <c r="B141" s="17" t="n"/>
    </row>
    <row r="142">
      <c r="B142" s="17" t="n"/>
    </row>
    <row r="143">
      <c r="B143" s="17" t="n"/>
    </row>
    <row r="144">
      <c r="B144" s="17" t="n"/>
    </row>
    <row r="145">
      <c r="B145" s="17" t="n"/>
    </row>
    <row r="146">
      <c r="B146" s="17" t="n"/>
    </row>
    <row r="147">
      <c r="B147" s="17" t="n"/>
    </row>
    <row r="148">
      <c r="B148" s="17" t="n"/>
    </row>
    <row r="149">
      <c r="B149" s="17" t="n"/>
    </row>
    <row r="150">
      <c r="B150" s="17" t="n"/>
    </row>
    <row r="151">
      <c r="B151" s="17" t="n"/>
    </row>
    <row r="152">
      <c r="B152" s="17" t="n"/>
    </row>
    <row r="153">
      <c r="B153" s="17" t="n"/>
    </row>
    <row r="154">
      <c r="B154" s="17" t="n"/>
    </row>
    <row r="155">
      <c r="B155" s="17" t="n"/>
    </row>
    <row r="156">
      <c r="B156" s="17" t="n"/>
    </row>
    <row r="157">
      <c r="B157" s="17" t="n"/>
    </row>
    <row r="158">
      <c r="B158" s="17" t="n"/>
    </row>
    <row r="159">
      <c r="B159" s="17" t="n"/>
    </row>
    <row r="160">
      <c r="B160" s="17" t="n"/>
    </row>
    <row r="161">
      <c r="B161" s="17" t="n"/>
    </row>
    <row r="162">
      <c r="B162" s="17" t="n"/>
    </row>
    <row r="163">
      <c r="B163" s="17" t="n"/>
    </row>
    <row r="164">
      <c r="B164" s="17" t="n"/>
    </row>
    <row r="165">
      <c r="B165" s="17" t="n"/>
    </row>
    <row r="166">
      <c r="B166" s="17" t="n"/>
    </row>
    <row r="167">
      <c r="B167" s="17" t="n"/>
    </row>
    <row r="168">
      <c r="B168" s="17" t="n"/>
    </row>
    <row r="169">
      <c r="B169" s="17" t="n"/>
    </row>
    <row r="170">
      <c r="B170" s="17" t="n"/>
    </row>
    <row r="171">
      <c r="B171" s="17" t="n"/>
    </row>
    <row r="172">
      <c r="B172" s="17" t="n"/>
    </row>
    <row r="173">
      <c r="B173" s="17" t="n"/>
    </row>
    <row r="174">
      <c r="B174" s="17" t="n"/>
    </row>
    <row r="175">
      <c r="B175" s="17" t="n"/>
    </row>
    <row r="176">
      <c r="B176" s="17" t="n"/>
    </row>
    <row r="177">
      <c r="B177" s="17" t="n"/>
    </row>
    <row r="178">
      <c r="B178" s="17" t="n"/>
    </row>
    <row r="179">
      <c r="B179" s="17" t="n"/>
    </row>
    <row r="180">
      <c r="B180" s="17" t="n"/>
    </row>
    <row r="181">
      <c r="B181" s="17" t="n"/>
    </row>
    <row r="182">
      <c r="B182" s="17" t="n"/>
    </row>
    <row r="183">
      <c r="B183" s="17" t="n"/>
    </row>
    <row r="184">
      <c r="B184" s="17" t="n"/>
    </row>
    <row r="185">
      <c r="B185" s="17" t="n"/>
    </row>
    <row r="186">
      <c r="B186" s="17" t="n"/>
    </row>
    <row r="187">
      <c r="B187" s="17" t="n"/>
    </row>
    <row r="188">
      <c r="B188" s="17" t="n"/>
    </row>
    <row r="189">
      <c r="B189" s="17" t="n"/>
    </row>
    <row r="190">
      <c r="B190" s="17" t="n"/>
    </row>
    <row r="191">
      <c r="B191" s="17" t="n"/>
    </row>
    <row r="192">
      <c r="B192" s="17" t="n"/>
    </row>
    <row r="193">
      <c r="B193" s="17" t="n"/>
    </row>
    <row r="194">
      <c r="B194" s="17" t="n"/>
    </row>
    <row r="195">
      <c r="B195" s="17" t="n"/>
    </row>
    <row r="196">
      <c r="B196" s="17" t="n"/>
    </row>
    <row r="197">
      <c r="B197" s="17" t="n"/>
    </row>
    <row r="198">
      <c r="B198" s="17" t="n"/>
    </row>
    <row r="199">
      <c r="B199" s="17" t="n"/>
    </row>
    <row r="200">
      <c r="B200" s="17" t="n"/>
    </row>
    <row r="201">
      <c r="B201" s="17" t="n"/>
    </row>
    <row r="202">
      <c r="B202" s="17" t="n"/>
    </row>
    <row r="203">
      <c r="B203" s="17" t="n"/>
    </row>
  </sheetData>
  <autoFilter ref="A3:H203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2" customHeight="1">
      <c r="A1" s="1" t="inlineStr">
        <is>
          <t>LISTAS DE APOYO</t>
        </is>
      </c>
    </row>
    <row r="2"/>
    <row r="3">
      <c r="A3" s="18" t="inlineStr">
        <is>
          <t>Estatus alumno</t>
        </is>
      </c>
      <c r="D3" s="18" t="inlineStr">
        <is>
          <t>Métodos de pago</t>
        </is>
      </c>
    </row>
    <row r="4">
      <c r="B4" s="7" t="inlineStr">
        <is>
          <t>Inicial</t>
        </is>
      </c>
      <c r="E4" s="7" t="inlineStr">
        <is>
          <t>Pagado</t>
        </is>
      </c>
    </row>
    <row r="5">
      <c r="B5" s="7" t="inlineStr">
        <is>
          <t>Plus</t>
        </is>
      </c>
      <c r="E5" s="7" t="inlineStr">
        <is>
          <t>Vencido</t>
        </is>
      </c>
    </row>
    <row r="6">
      <c r="B6" s="7" t="inlineStr">
        <is>
          <t>Premium</t>
        </is>
      </c>
      <c r="E6" s="7" t="inlineStr">
        <is>
          <t>Próximo</t>
        </is>
      </c>
    </row>
    <row r="7">
      <c r="B7" s="7" t="inlineStr">
        <is>
          <t>Elite</t>
        </is>
      </c>
      <c r="E7" s="7" t="inlineStr">
        <is>
          <t>Pendiente</t>
        </is>
      </c>
    </row>
    <row r="8">
      <c r="B8" s="7" t="inlineStr">
        <is>
          <t>Preinscrito</t>
        </is>
      </c>
      <c r="E8" s="7" t="inlineStr">
        <is>
          <t>Cancelado</t>
        </is>
      </c>
    </row>
    <row r="9">
      <c r="E9" s="7" t="inlineStr">
        <is>
          <t>Condonado</t>
        </is>
      </c>
    </row>
    <row r="10">
      <c r="E10" s="7" t="inlineStr">
        <is>
          <t>Reembolsado</t>
        </is>
      </c>
    </row>
    <row r="11"/>
    <row r="12">
      <c r="A12" s="18" t="inlineStr">
        <is>
          <t>Niveles beneficio</t>
        </is>
      </c>
      <c r="D12" s="18" t="inlineStr">
        <is>
          <t>Estatus mensualidad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EmpoderArte - Plantilla de Control</dc:title>
  <dc:subject xmlns:dc="http://purl.org/dc/elements/1.1/">Alumnos, mensualidades, pagos, promociones, beneficios, asistencia y credenciales</dc:subject>
  <dcterms:created xmlns:dcterms="http://purl.org/dc/terms/" xmlns:xsi="http://www.w3.org/2001/XMLSchema-instance" xsi:type="dcterms:W3CDTF">2026-09-01T20:49:10Z</dcterms:created>
  <dcterms:modified xmlns:dcterms="http://purl.org/dc/terms/" xmlns:xsi="http://www.w3.org/2001/XMLSchema-instance" xsi:type="dcterms:W3CDTF">2026-09-01T20:49:10Z</dcterms:modified>
</cp:coreProperties>
</file>